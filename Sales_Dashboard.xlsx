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OUNIKA\Downloads\"/>
    </mc:Choice>
  </mc:AlternateContent>
  <xr:revisionPtr revIDLastSave="0" documentId="8_{2D1B5842-5BEE-4BFD-8616-D41F5D6F679D}" xr6:coauthVersionLast="47" xr6:coauthVersionMax="47" xr10:uidLastSave="{00000000-0000-0000-0000-000000000000}"/>
  <bookViews>
    <workbookView xWindow="-108" yWindow="-108" windowWidth="23256" windowHeight="12456" activeTab="2" xr2:uid="{00000000-000D-0000-FFFF-FFFF00000000}"/>
  </bookViews>
  <sheets>
    <sheet name="Sales_Data" sheetId="1" r:id="rId1"/>
    <sheet name="Pivot_Analysis" sheetId="2" r:id="rId2"/>
    <sheet name="Dashboard" sheetId="3" r:id="rId3"/>
  </sheets>
  <definedNames>
    <definedName name="_xlchart.v5.0" hidden="1">Pivot_Analysis!$M$45</definedName>
    <definedName name="_xlchart.v5.1" hidden="1">Pivot_Analysis!$M$46:$M$51</definedName>
    <definedName name="_xlchart.v5.2" hidden="1">Pivot_Analysis!$N$45</definedName>
    <definedName name="_xlchart.v5.3" hidden="1">Pivot_Analysis!$N$46:$N$51</definedName>
    <definedName name="_xlchart.v5.4" hidden="1">Pivot_Analysis!$M$45</definedName>
    <definedName name="_xlchart.v5.5" hidden="1">Pivot_Analysis!$M$46:$M$51</definedName>
    <definedName name="_xlchart.v5.6" hidden="1">Pivot_Analysis!$N$45</definedName>
    <definedName name="_xlchart.v5.7" hidden="1">Pivot_Analysis!$N$46:$N$51</definedName>
    <definedName name="Slicer_Category">#N/A</definedName>
    <definedName name="Slicer_Month">#N/A</definedName>
    <definedName name="Slicer_Segment">#N/A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B7" i="2"/>
  <c r="A7" i="2"/>
  <c r="D7" i="2"/>
  <c r="C7" i="2"/>
  <c r="E7" i="2" l="1"/>
</calcChain>
</file>

<file path=xl/sharedStrings.xml><?xml version="1.0" encoding="utf-8"?>
<sst xmlns="http://schemas.openxmlformats.org/spreadsheetml/2006/main" count="1471" uniqueCount="286">
  <si>
    <t>Order ID</t>
  </si>
  <si>
    <t>Order Date</t>
  </si>
  <si>
    <t>Customer</t>
  </si>
  <si>
    <t>State</t>
  </si>
  <si>
    <t>City</t>
  </si>
  <si>
    <t>Category</t>
  </si>
  <si>
    <t>Sub Category</t>
  </si>
  <si>
    <t>Sales</t>
  </si>
  <si>
    <t>Profit</t>
  </si>
  <si>
    <t>Quantity</t>
  </si>
  <si>
    <t>Segment</t>
  </si>
  <si>
    <t>ORD1002</t>
  </si>
  <si>
    <t>Sneha</t>
  </si>
  <si>
    <t>Tamil Nadu</t>
  </si>
  <si>
    <t>Coimbatore</t>
  </si>
  <si>
    <t>Office Supplies</t>
  </si>
  <si>
    <t>Pen</t>
  </si>
  <si>
    <t>Consumer</t>
  </si>
  <si>
    <t>ORD1003</t>
  </si>
  <si>
    <t>Aisha</t>
  </si>
  <si>
    <t>Maharashtra</t>
  </si>
  <si>
    <t>Mumbai</t>
  </si>
  <si>
    <t>Corporate</t>
  </si>
  <si>
    <t>ORD1004</t>
  </si>
  <si>
    <t>Riya</t>
  </si>
  <si>
    <t>Karnataka</t>
  </si>
  <si>
    <t>Bengaluru</t>
  </si>
  <si>
    <t>Furniture</t>
  </si>
  <si>
    <t>Table</t>
  </si>
  <si>
    <t>Home Office</t>
  </si>
  <si>
    <t>ORD1005</t>
  </si>
  <si>
    <t>Neha</t>
  </si>
  <si>
    <t>Pune</t>
  </si>
  <si>
    <t>Notebook</t>
  </si>
  <si>
    <t>ORD1006</t>
  </si>
  <si>
    <t>Aditya</t>
  </si>
  <si>
    <t>Telangana</t>
  </si>
  <si>
    <t>Warangal</t>
  </si>
  <si>
    <t>ORD1007</t>
  </si>
  <si>
    <t>Printer Paper</t>
  </si>
  <si>
    <t>ORD1008</t>
  </si>
  <si>
    <t>Hyderabad</t>
  </si>
  <si>
    <t>Sofa</t>
  </si>
  <si>
    <t>ORD1009</t>
  </si>
  <si>
    <t>Rohan</t>
  </si>
  <si>
    <t>Gujarat</t>
  </si>
  <si>
    <t>Ahmedabad</t>
  </si>
  <si>
    <t>ORD1010</t>
  </si>
  <si>
    <t>Meera</t>
  </si>
  <si>
    <t>ORD1011</t>
  </si>
  <si>
    <t>Varun</t>
  </si>
  <si>
    <t>Electronics</t>
  </si>
  <si>
    <t>Headphones</t>
  </si>
  <si>
    <t>ORD1012</t>
  </si>
  <si>
    <t>Karthik</t>
  </si>
  <si>
    <t>ORD1013</t>
  </si>
  <si>
    <t>Rahul</t>
  </si>
  <si>
    <t>ORD1014</t>
  </si>
  <si>
    <t>Mysuru</t>
  </si>
  <si>
    <t>ORD1015</t>
  </si>
  <si>
    <t>Surat</t>
  </si>
  <si>
    <t>ORD1016</t>
  </si>
  <si>
    <t>Sanjana</t>
  </si>
  <si>
    <t>Delhi</t>
  </si>
  <si>
    <t>New Delhi</t>
  </si>
  <si>
    <t>Mobile</t>
  </si>
  <si>
    <t>ORD1017</t>
  </si>
  <si>
    <t>ORD1018</t>
  </si>
  <si>
    <t>Vikram</t>
  </si>
  <si>
    <t>ORD1019</t>
  </si>
  <si>
    <t>ORD1020</t>
  </si>
  <si>
    <t>Diya</t>
  </si>
  <si>
    <t>Chair</t>
  </si>
  <si>
    <t>ORD1021</t>
  </si>
  <si>
    <t>Ananya</t>
  </si>
  <si>
    <t>ORD1022</t>
  </si>
  <si>
    <t>Chennai</t>
  </si>
  <si>
    <t>ORD1023</t>
  </si>
  <si>
    <t>ORD1024</t>
  </si>
  <si>
    <t>ORD1025</t>
  </si>
  <si>
    <t>ORD1026</t>
  </si>
  <si>
    <t>Priya</t>
  </si>
  <si>
    <t>ORD1027</t>
  </si>
  <si>
    <t>ORD1028</t>
  </si>
  <si>
    <t>ORD1029</t>
  </si>
  <si>
    <t>ORD1030</t>
  </si>
  <si>
    <t>ORD1031</t>
  </si>
  <si>
    <t>Laptop</t>
  </si>
  <si>
    <t>ORD1032</t>
  </si>
  <si>
    <t>Pooja</t>
  </si>
  <si>
    <t>ORD1033</t>
  </si>
  <si>
    <t>Kiran</t>
  </si>
  <si>
    <t>ORD1034</t>
  </si>
  <si>
    <t>ORD1035</t>
  </si>
  <si>
    <t>ORD1036</t>
  </si>
  <si>
    <t>ORD1037</t>
  </si>
  <si>
    <t>ORD1038</t>
  </si>
  <si>
    <t>ORD1039</t>
  </si>
  <si>
    <t>Aarav</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</si>
  <si>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</si>
  <si>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</si>
  <si>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</si>
  <si>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</si>
  <si>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</si>
  <si>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</si>
  <si>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</si>
  <si>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</si>
  <si>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</si>
  <si>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</si>
  <si>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</si>
  <si>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</si>
  <si>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</si>
  <si>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</si>
  <si>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</si>
  <si>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</si>
  <si>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</si>
  <si>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</si>
  <si>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</si>
  <si>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</si>
  <si>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</si>
  <si>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</si>
  <si>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</si>
  <si>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</si>
  <si>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Arjun</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</si>
  <si>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</si>
  <si>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</si>
  <si>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</si>
  <si>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</si>
  <si>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</si>
  <si>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</si>
  <si>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</si>
  <si>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</si>
  <si>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</si>
  <si>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</si>
  <si>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</si>
  <si>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</si>
  <si>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</si>
  <si>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</si>
  <si>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</si>
  <si>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</si>
  <si>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</si>
  <si>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</si>
  <si>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</si>
  <si>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</si>
  <si>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</si>
  <si>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</si>
  <si>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</si>
  <si>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</si>
  <si>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</si>
  <si>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</si>
  <si>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</si>
  <si>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</si>
  <si>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</si>
  <si>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</si>
  <si>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</si>
  <si>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</si>
  <si>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</si>
  <si>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</si>
  <si>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</si>
  <si>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Nikhil</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</si>
  <si>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</si>
  <si>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</si>
  <si>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</si>
  <si>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</si>
  <si>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</si>
  <si>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</si>
  <si>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</si>
  <si>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</si>
  <si>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</si>
  <si>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</si>
  <si>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</si>
  <si>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</si>
  <si>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</si>
  <si>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</si>
  <si>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</si>
  <si>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</si>
  <si>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</si>
  <si>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</si>
  <si>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</si>
  <si>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</si>
  <si>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</si>
  <si>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</si>
  <si>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</si>
  <si>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</si>
  <si>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</si>
  <si>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</si>
  <si>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</si>
  <si>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</si>
  <si>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</si>
  <si>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</si>
  <si>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</si>
  <si>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</si>
  <si>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</si>
  <si>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</si>
  <si>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</si>
  <si>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</si>
  <si>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</si>
  <si>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</si>
  <si>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</si>
  <si>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</si>
  <si>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</si>
  <si>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</si>
  <si>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</si>
  <si>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</si>
  <si>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</si>
  <si>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</si>
  <si>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</si>
  <si>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</si>
  <si>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</si>
  <si>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</si>
  <si>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</si>
  <si>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</si>
  <si>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</si>
  <si>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</si>
  <si>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</si>
  <si>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</si>
  <si>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</si>
  <si>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</si>
  <si>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</si>
  <si>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</si>
  <si>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</si>
  <si>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</si>
  <si>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</si>
  <si>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</si>
  <si>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</si>
  <si>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</si>
  <si>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</si>
  <si>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</si>
  <si>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</si>
  <si>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</si>
  <si>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</si>
  <si>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</si>
  <si>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</si>
  <si>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</si>
  <si>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</si>
  <si>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</si>
  <si>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</si>
  <si>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</si>
  <si>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</si>
  <si>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</si>
  <si>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</si>
  <si>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</si>
  <si>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</si>
  <si>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</si>
  <si>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</si>
  <si>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</si>
  <si>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</si>
  <si>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</si>
  <si>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</si>
  <si>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</si>
  <si>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</si>
  <si>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</si>
  <si>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</si>
  <si>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</si>
  <si>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</si>
  <si>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</si>
  <si>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</si>
  <si>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</si>
  <si>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</si>
  <si>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</si>
  <si>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</si>
  <si>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</si>
  <si>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</si>
  <si>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Sum of Sales</t>
  </si>
  <si>
    <t>Sum of Profit</t>
  </si>
  <si>
    <t>Sum of Quantity</t>
  </si>
  <si>
    <t>Count of Order ID</t>
  </si>
  <si>
    <t>Sun of sales</t>
  </si>
  <si>
    <t>sum of quantity</t>
  </si>
  <si>
    <t>avg sales</t>
  </si>
  <si>
    <t>count of order ID</t>
  </si>
  <si>
    <t>Month</t>
  </si>
  <si>
    <t>Row Labels</t>
  </si>
  <si>
    <t>Jan</t>
  </si>
  <si>
    <t>Feb</t>
  </si>
  <si>
    <t>Mar</t>
  </si>
  <si>
    <t>Apr</t>
  </si>
  <si>
    <t>May</t>
  </si>
  <si>
    <t>Jun</t>
  </si>
  <si>
    <t>Jul</t>
  </si>
  <si>
    <t>Aug</t>
  </si>
  <si>
    <t>Sep</t>
  </si>
  <si>
    <t>Oct</t>
  </si>
  <si>
    <t>Nov</t>
  </si>
  <si>
    <t>Dec</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</si>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</sst>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quot;₹ &quot;0.00,,&quot;M&quot;"/>
    <numFmt numFmtId="167" formatCode="\₹\ 0.00,&quot;K&quot;"/>
    <numFmt numFmtId="168" formatCode="0.0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3">
    <dxf>
      <numFmt numFmtId="166" formatCode="&quot;₹ &quot;0.00,,&quot;M&quot;"/>
    </dxf>
    <dxf>
      <numFmt numFmtId="166" formatCode="&quot;₹ &quot;0.00,,&quot;M&quot;"/>
    </dxf>
    <dxf>
      <numFmt numFmtId="166" formatCode="&quot;₹ &quot;0.00,,&quot;M&quot;"/>
    </dxf>
    <dxf>
      <numFmt numFmtId="166" formatCode="&quot;₹ &quot;0.00,,&quot;M&quot;"/>
    </dxf>
    <dxf>
      <numFmt numFmtId="166" formatCode="&quot;₹ &quot;0.00,,&quot;M&quot;"/>
    </dxf>
    <dxf>
      <numFmt numFmtId="167" formatCode="\₹\ 0.00,&quot;K&quot;"/>
    </dxf>
    <dxf>
      <numFmt numFmtId="166" formatCode="&quot;₹ &quot;0.00,,&quot;M&quot;"/>
    </dxf>
    <dxf>
      <numFmt numFmtId="165" formatCode="\₹#,##0.00"/>
    </dxf>
    <dxf>
      <numFmt numFmtId="165" formatCode="\₹#,##0.00"/>
    </dxf>
    <dxf>
      <numFmt numFmtId="164" formatCode="dd\-mmm\-yyyy"/>
    </dxf>
    <dxf>
      <numFmt numFmtId="164" formatCode="dd\-mmm\-yyyy"/>
    </dxf>
    <dxf>
      <font>
        <sz val="16"/>
        <name val="Segoe UI Semibold"/>
        <family val="2"/>
        <scheme val="none"/>
      </font>
      <fill>
        <patternFill>
          <bgColor theme="7" tint="0.39994506668294322"/>
        </patternFill>
      </fill>
      <border diagonalDown="1">
        <diagonal style="thin">
          <color auto="1"/>
        </diagonal>
      </border>
    </dxf>
    <dxf>
      <fill>
        <patternFill>
          <bgColor rgb="FF5B2C6F"/>
        </patternFill>
      </fill>
      <border>
        <left style="thin">
          <color auto="1"/>
        </left>
        <right style="thin">
          <color auto="1"/>
        </right>
        <top style="thin">
          <color auto="1"/>
        </top>
        <bottom style="thin">
          <color auto="1"/>
        </bottom>
      </border>
    </dxf>
  </dxfs>
  <tableStyles count="1" defaultTableStyle="TableStyleMedium9" defaultPivotStyle="PivotStyleLight16">
    <tableStyle name="Slicer Style 1" pivot="0" table="0" count="4" xr9:uid="{619D77E5-3A5E-4280-B83B-6440577A4AE1}">
      <tableStyleElement type="wholeTable" dxfId="12"/>
      <tableStyleElement type="headerRow" dxfId="11"/>
    </tableStyle>
  </tableStyles>
  <colors>
    <mruColors>
      <color rgb="FFE1CBEB"/>
      <color rgb="FF5B2C6F"/>
    </mruColors>
  </colors>
  <extLst>
    <ext xmlns:x14="http://schemas.microsoft.com/office/spreadsheetml/2009/9/main" uri="{46F421CA-312F-682f-3DD2-61675219B42D}">
      <x14:dxfs count="2">
        <dxf>
          <fill>
            <patternFill>
              <bgColor theme="7" tint="0.39994506668294322"/>
            </patternFill>
          </fill>
        </dxf>
        <dxf>
          <font>
            <sz val="10"/>
            <name val="Segoe UI Semibold"/>
            <family val="2"/>
            <scheme val="none"/>
          </font>
          <fill>
            <patternFill>
              <bgColor theme="7" tint="0.39994506668294322"/>
            </patternFill>
          </fill>
          <border diagonalDown="1">
            <left style="thin">
              <color auto="1"/>
            </left>
            <right style="thin">
              <color auto="1"/>
            </right>
            <top style="thin">
              <color auto="1"/>
            </top>
            <bottom style="thin">
              <color auto="1"/>
            </bottom>
            <diagonal style="thin">
              <color auto="1"/>
            </diagon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[Sales_Dashboard.xlsx]Pivot_Analysis!PivotTable2</c:name>
    <c:fmtId val="0"/>
  </c:pivotSource>
  <c:chart>
    <c:autoTitleDeleted val="1"/>
    <c:pivotFmts>
      <c:pivotFmt>
        <c:idx val="0"/>
        <c:spPr>
          <a:ln w="28575" cap="rnd">
            <a:gradFill>
              <a:gsLst>
                <a:gs pos="0">
                  <a:srgbClr val="E1CBEB"/>
                </a:gs>
                <a:gs pos="20000">
                  <a:srgbClr val="5B2C6F"/>
                </a:gs>
              </a:gsLst>
              <a:lin ang="5400000" scaled="1"/>
            </a:gradFill>
            <a:round/>
          </a:ln>
          <a:effectLst/>
        </c:spPr>
        <c:marker>
          <c:symbol val="circle"/>
          <c:size val="7"/>
          <c:spPr>
            <a:gradFill>
              <a:gsLst>
                <a:gs pos="0">
                  <a:srgbClr val="00B0F0"/>
                </a:gs>
                <a:gs pos="100000">
                  <a:schemeClr val="accent1">
                    <a:lumMod val="60000"/>
                    <a:lumOff val="4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Pivot_Analysis!$B$9</c:f>
              <c:strCache>
                <c:ptCount val="1"/>
                <c:pt idx="0">
                  <c:v>Total</c:v>
                </c:pt>
              </c:strCache>
            </c:strRef>
          </c:tx>
          <c:spPr>
            <a:ln w="28575" cap="rnd">
              <a:gradFill>
                <a:gsLst>
                  <a:gs pos="0">
                    <a:srgbClr val="E1CBEB"/>
                  </a:gs>
                  <a:gs pos="20000">
                    <a:srgbClr val="5B2C6F"/>
                  </a:gs>
                </a:gsLst>
                <a:lin ang="5400000" scaled="1"/>
              </a:gradFill>
              <a:round/>
            </a:ln>
            <a:effectLst/>
          </c:spPr>
          <c:marker>
            <c:symbol val="circle"/>
            <c:size val="7"/>
            <c:spPr>
              <a:gradFill>
                <a:gsLst>
                  <a:gs pos="0">
                    <a:srgbClr val="00B0F0"/>
                  </a:gs>
                  <a:gs pos="100000">
                    <a:schemeClr val="accent1">
                      <a:lumMod val="60000"/>
                      <a:lumOff val="40000"/>
                    </a:schemeClr>
                  </a:gs>
                </a:gsLst>
                <a:lin ang="5400000" scaled="1"/>
              </a:gradFill>
              <a:ln w="9525">
                <a:solidFill>
                  <a:schemeClr val="accent1"/>
                </a:solidFill>
              </a:ln>
              <a:effectLst/>
            </c:spPr>
          </c:marker>
          <c:cat>
            <c:strRef>
              <c:f>Pivot_Analysis!$A$10:$A$22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Pivot_Analysis!$B$10:$B$22</c:f>
              <c:numCache>
                <c:formatCode>"₹ "0.00,,"M"</c:formatCode>
                <c:ptCount val="12"/>
                <c:pt idx="0">
                  <c:v>299869.87999999995</c:v>
                </c:pt>
                <c:pt idx="1">
                  <c:v>383920.68</c:v>
                </c:pt>
                <c:pt idx="2">
                  <c:v>475678.31000000006</c:v>
                </c:pt>
                <c:pt idx="3">
                  <c:v>558915</c:v>
                </c:pt>
                <c:pt idx="4">
                  <c:v>370027.88</c:v>
                </c:pt>
                <c:pt idx="5">
                  <c:v>319249.94</c:v>
                </c:pt>
                <c:pt idx="6">
                  <c:v>269886.59999999998</c:v>
                </c:pt>
                <c:pt idx="7">
                  <c:v>363241.0500000001</c:v>
                </c:pt>
                <c:pt idx="8">
                  <c:v>471837.27999999997</c:v>
                </c:pt>
                <c:pt idx="9">
                  <c:v>644978.92000000016</c:v>
                </c:pt>
                <c:pt idx="10">
                  <c:v>433679.39000000007</c:v>
                </c:pt>
                <c:pt idx="11">
                  <c:v>626188.65999999992</c:v>
                </c:pt>
              </c:numCache>
            </c:numRef>
          </c:val>
          <c:smooth val="1"/>
          <c:extLst>
            <c:ext xmlns:c16="http://schemas.microsoft.com/office/drawing/2014/chart" uri="{C3380CC4-5D6E-409C-BE32-E72D297353CC}">
              <c16:uniqueId val="{00000000-152C-4058-AEE9-D300BA2DABA6}"/>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763208159"/>
        <c:axId val="1460400175"/>
      </c:lineChart>
      <c:catAx>
        <c:axId val="176320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60400175"/>
        <c:crosses val="autoZero"/>
        <c:auto val="1"/>
        <c:lblAlgn val="ctr"/>
        <c:lblOffset val="100"/>
        <c:noMultiLvlLbl val="0"/>
      </c:catAx>
      <c:valAx>
        <c:axId val="1460400175"/>
        <c:scaling>
          <c:orientation val="minMax"/>
        </c:scaling>
        <c:delete val="0"/>
        <c:axPos val="l"/>
        <c:numFmt formatCode="&quot;₹ &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6320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[Sales_Dashboard.xlsx]Pivot_Analysis!PivotTable3</c:name>
    <c:fmtId val="10"/>
  </c:pivotSource>
  <c:chart>
    <c:autoTitleDeleted val="1"/>
    <c:pivotFmts>
      <c:pivotFmt>
        <c:idx val="0"/>
        <c:spPr>
          <a:gradFill>
            <a:gsLst>
              <a:gs pos="0">
                <a:srgbClr val="E1CBEB"/>
              </a:gs>
              <a:gs pos="49000">
                <a:srgbClr val="5B2C6F"/>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Pivot_Analysis!$B$26</c:f>
              <c:strCache>
                <c:ptCount val="1"/>
                <c:pt idx="0">
                  <c:v>Total</c:v>
                </c:pt>
              </c:strCache>
            </c:strRef>
          </c:tx>
          <c:spPr>
            <a:gradFill>
              <a:gsLst>
                <a:gs pos="0">
                  <a:srgbClr val="E1CBEB"/>
                </a:gs>
                <a:gs pos="49000">
                  <a:srgbClr val="5B2C6F"/>
                </a:gs>
              </a:gsLst>
              <a:lin ang="16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Pivot_Analysis!$A$27:$A$30</c:f>
              <c:strCache>
                <c:ptCount val="3"/>
                <c:pt idx="0">
                  <c:v>Electronics</c:v>
                </c:pt>
                <c:pt idx="1">
                  <c:v>Furniture</c:v>
                </c:pt>
                <c:pt idx="2">
                  <c:v>Office Supplies</c:v>
                </c:pt>
              </c:strCache>
            </c:strRef>
          </c:cat>
          <c:val>
            <c:numRef>
              <c:f>Pivot_Analysis!$B$27:$B$30</c:f>
              <c:numCache>
                <c:formatCode>"₹ "0.00,,"M"</c:formatCode>
                <c:ptCount val="3"/>
                <c:pt idx="0">
                  <c:v>1583629.4000000001</c:v>
                </c:pt>
                <c:pt idx="1">
                  <c:v>1739222.4800000004</c:v>
                </c:pt>
                <c:pt idx="2">
                  <c:v>1894621.7099999997</c:v>
                </c:pt>
              </c:numCache>
            </c:numRef>
          </c:val>
          <c:extLst>
            <c:ext xmlns:c16="http://schemas.microsoft.com/office/drawing/2014/chart" uri="{C3380CC4-5D6E-409C-BE32-E72D297353CC}">
              <c16:uniqueId val="{00000000-2F93-4EBB-A1DA-83B8B700FA8B}"/>
            </c:ext>
          </c:extLst>
        </c:ser>
        <c:dLbls>
          <c:showLegendKey val="0"/>
          <c:showVal val="0"/>
          <c:showCatName val="0"/>
          <c:showSerName val="0"/>
          <c:showPercent val="0"/>
          <c:showBubbleSize val="0"/>
        </c:dLbls>
        <c:gapWidth val="219"/>
        <c:overlap val="-27"/>
        <c:axId val="1624077375"/>
        <c:axId val="1460385295"/>
      </c:barChart>
      <c:catAx>
        <c:axId val="162407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60385295"/>
        <c:crosses val="autoZero"/>
        <c:auto val="1"/>
        <c:lblAlgn val="ctr"/>
        <c:lblOffset val="100"/>
        <c:noMultiLvlLbl val="0"/>
      </c:catAx>
      <c:valAx>
        <c:axId val="1460385295"/>
        <c:scaling>
          <c:orientation val="minMax"/>
        </c:scaling>
        <c:delete val="1"/>
        <c:axPos val="l"/>
        <c:numFmt formatCode="&quot;₹ &quot;0.00,,&quot;M&quot;" sourceLinked="1"/>
        <c:majorTickMark val="none"/>
        <c:minorTickMark val="none"/>
        <c:tickLblPos val="nextTo"/>
        <c:crossAx val="162407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[Sales_Dashboard.xlsx]Pivot_Analysis!PivotTable4</c:name>
    <c:fmtId val="15"/>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4">
              <a:shade val="65000"/>
            </a:schemeClr>
          </a:solidFill>
          <a:ln w="19050">
            <a:solidFill>
              <a:schemeClr val="lt1"/>
            </a:solidFill>
          </a:ln>
          <a:effectLst/>
        </c:spPr>
        <c:dLbl>
          <c:idx val="0"/>
          <c:layout>
            <c:manualLayout>
              <c:x val="-7.6791808873720169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308304891922639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Pivot_Analysis!$B$43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4-3C6B-427A-8C62-90748DCEC84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5-3C6B-427A-8C62-90748DCEC84D}"/>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6-3C6B-427A-8C62-90748DCEC84D}"/>
              </c:ext>
            </c:extLst>
          </c:dPt>
          <c:dLbls>
            <c:dLbl>
              <c:idx val="0"/>
              <c:layout>
                <c:manualLayout>
                  <c:x val="-7.6791808873720169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6B-427A-8C62-90748DCEC84D}"/>
                </c:ext>
              </c:extLst>
            </c:dLbl>
            <c:dLbl>
              <c:idx val="1"/>
              <c:layout>
                <c:manualLayout>
                  <c:x val="-0.13083048919226395"/>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6B-427A-8C62-90748DCEC84D}"/>
                </c:ext>
              </c:extLst>
            </c:dLbl>
            <c:dLbl>
              <c:idx val="2"/>
              <c:layout>
                <c:manualLayout>
                  <c:x val="-7.6791808873720169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6B-427A-8C62-90748DCEC8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Pivot_Analysis!$A$44:$A$47</c:f>
              <c:strCache>
                <c:ptCount val="3"/>
                <c:pt idx="0">
                  <c:v>Consumer</c:v>
                </c:pt>
                <c:pt idx="1">
                  <c:v>Corporate</c:v>
                </c:pt>
                <c:pt idx="2">
                  <c:v>Home Office</c:v>
                </c:pt>
              </c:strCache>
            </c:strRef>
          </c:cat>
          <c:val>
            <c:numRef>
              <c:f>Pivot_Analysis!$B$44:$B$47</c:f>
              <c:numCache>
                <c:formatCode>"₹ "0.00,,"M"</c:formatCode>
                <c:ptCount val="3"/>
                <c:pt idx="0">
                  <c:v>1922086.4000000004</c:v>
                </c:pt>
                <c:pt idx="1">
                  <c:v>1733412.1899999997</c:v>
                </c:pt>
                <c:pt idx="2">
                  <c:v>1561975.0000000005</c:v>
                </c:pt>
              </c:numCache>
            </c:numRef>
          </c:val>
          <c:extLst>
            <c:ext xmlns:c16="http://schemas.microsoft.com/office/drawing/2014/chart" uri="{C3380CC4-5D6E-409C-BE32-E72D297353CC}">
              <c16:uniqueId val="{00000000-3C6B-427A-8C62-90748DCEC84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[Sales_Dashboard.xlsx]Pivot_Analysis!PivotTable5</c:name>
    <c:fmtId val="22"/>
  </c:pivotSource>
  <c:chart>
    <c:autoTitleDeleted val="1"/>
    <c:pivotFmts>
      <c:pivotFmt>
        <c:idx val="0"/>
        <c:spPr>
          <a:gradFill>
            <a:gsLst>
              <a:gs pos="0">
                <a:srgbClr val="E1CBEB"/>
              </a:gs>
              <a:gs pos="45000">
                <a:srgbClr val="5B2C6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Pivot_Analysis!$N$9</c:f>
              <c:strCache>
                <c:ptCount val="1"/>
                <c:pt idx="0">
                  <c:v>Total</c:v>
                </c:pt>
              </c:strCache>
            </c:strRef>
          </c:tx>
          <c:spPr>
            <a:gradFill>
              <a:gsLst>
                <a:gs pos="0">
                  <a:srgbClr val="E1CBEB"/>
                </a:gs>
                <a:gs pos="45000">
                  <a:srgbClr val="5B2C6F"/>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Pivot_Analysis!$M$10:$M$15</c:f>
              <c:strCache>
                <c:ptCount val="5"/>
                <c:pt idx="0">
                  <c:v>Ahmedabad</c:v>
                </c:pt>
                <c:pt idx="1">
                  <c:v>Bengaluru</c:v>
                </c:pt>
                <c:pt idx="2">
                  <c:v>Hyderabad</c:v>
                </c:pt>
                <c:pt idx="3">
                  <c:v>New Delhi</c:v>
                </c:pt>
                <c:pt idx="4">
                  <c:v>Pune</c:v>
                </c:pt>
              </c:strCache>
            </c:strRef>
          </c:cat>
          <c:val>
            <c:numRef>
              <c:f>Pivot_Analysis!$N$10:$N$15</c:f>
              <c:numCache>
                <c:formatCode>"₹ "0.00,,"M"</c:formatCode>
                <c:ptCount val="5"/>
                <c:pt idx="0">
                  <c:v>467666.56000000006</c:v>
                </c:pt>
                <c:pt idx="1">
                  <c:v>486157.98</c:v>
                </c:pt>
                <c:pt idx="2">
                  <c:v>546351.92000000004</c:v>
                </c:pt>
                <c:pt idx="3">
                  <c:v>972200.8899999999</c:v>
                </c:pt>
                <c:pt idx="4">
                  <c:v>505785.26000000007</c:v>
                </c:pt>
              </c:numCache>
            </c:numRef>
          </c:val>
          <c:extLst>
            <c:ext xmlns:c16="http://schemas.microsoft.com/office/drawing/2014/chart" uri="{C3380CC4-5D6E-409C-BE32-E72D297353CC}">
              <c16:uniqueId val="{00000000-E221-43B2-8FDB-16CCA7A274BA}"/>
            </c:ext>
          </c:extLst>
        </c:ser>
        <c:dLbls>
          <c:dLblPos val="outEnd"/>
          <c:showLegendKey val="0"/>
          <c:showVal val="1"/>
          <c:showCatName val="0"/>
          <c:showSerName val="0"/>
          <c:showPercent val="0"/>
          <c:showBubbleSize val="0"/>
        </c:dLbls>
        <c:gapWidth val="182"/>
        <c:axId val="1776367519"/>
        <c:axId val="1891901839"/>
      </c:barChart>
      <c:catAx>
        <c:axId val="177636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91901839"/>
        <c:crosses val="autoZero"/>
        <c:auto val="1"/>
        <c:lblAlgn val="ctr"/>
        <c:lblOffset val="100"/>
        <c:noMultiLvlLbl val="0"/>
      </c:catAx>
      <c:valAx>
        <c:axId val="1891901839"/>
        <c:scaling>
          <c:orientation val="minMax"/>
        </c:scaling>
        <c:delete val="1"/>
        <c:axPos val="b"/>
        <c:numFmt formatCode="&quot;₹ &quot;0.00,,&quot;M&quot;" sourceLinked="1"/>
        <c:majorTickMark val="none"/>
        <c:minorTickMark val="none"/>
        <c:tickLblPos val="nextTo"/>
        <c:crossAx val="177636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[Sales_Dashboard.xlsx]Pivot_Analysis!PivotTable2</c:name>
    <c:fmtId val="9"/>
  </c:pivotSource>
  <c:chart>
    <c:autoTitleDeleted val="1"/>
    <c:pivotFmts>
      <c:pivotFmt>
        <c:idx val="0"/>
        <c:spPr>
          <a:solidFill>
            <a:schemeClr val="accent1"/>
          </a:solidFill>
          <a:ln w="28575" cap="rnd">
            <a:gradFill>
              <a:gsLst>
                <a:gs pos="0">
                  <a:srgbClr val="E1CBEB"/>
                </a:gs>
                <a:gs pos="20000">
                  <a:srgbClr val="5B2C6F"/>
                </a:gs>
              </a:gsLst>
              <a:lin ang="5400000" scaled="1"/>
            </a:gradFill>
            <a:round/>
          </a:ln>
          <a:effectLst/>
        </c:spPr>
        <c:marker>
          <c:symbol val="circle"/>
          <c:size val="7"/>
          <c:spPr>
            <a:gradFill>
              <a:gsLst>
                <a:gs pos="0">
                  <a:srgbClr val="00B0F0"/>
                </a:gs>
                <a:gs pos="100000">
                  <a:schemeClr val="accent1">
                    <a:lumMod val="60000"/>
                    <a:lumOff val="4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0">
                  <a:srgbClr val="E1CBEB"/>
                </a:gs>
                <a:gs pos="20000">
                  <a:srgbClr val="5B2C6F"/>
                </a:gs>
              </a:gsLst>
              <a:lin ang="5400000" scaled="1"/>
            </a:gradFill>
            <a:round/>
          </a:ln>
          <a:effectLst/>
        </c:spPr>
        <c:marker>
          <c:symbol val="circle"/>
          <c:size val="7"/>
          <c:spPr>
            <a:gradFill>
              <a:gsLst>
                <a:gs pos="0">
                  <a:srgbClr val="00B0F0"/>
                </a:gs>
                <a:gs pos="100000">
                  <a:schemeClr val="accent1">
                    <a:lumMod val="60000"/>
                    <a:lumOff val="4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E1CBEB"/>
                </a:gs>
                <a:gs pos="20000">
                  <a:srgbClr val="5B2C6F"/>
                </a:gs>
              </a:gsLst>
              <a:lin ang="5400000" scaled="1"/>
            </a:gradFill>
            <a:round/>
          </a:ln>
          <a:effectLst/>
        </c:spPr>
        <c:marker>
          <c:symbol val="circle"/>
          <c:size val="7"/>
          <c:spPr>
            <a:gradFill>
              <a:gsLst>
                <a:gs pos="0">
                  <a:srgbClr val="00B0F0"/>
                </a:gs>
                <a:gs pos="100000">
                  <a:schemeClr val="accent1">
                    <a:lumMod val="60000"/>
                    <a:lumOff val="4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Pivot_Analysis!$B$9</c:f>
              <c:strCache>
                <c:ptCount val="1"/>
                <c:pt idx="0">
                  <c:v>Total</c:v>
                </c:pt>
              </c:strCache>
            </c:strRef>
          </c:tx>
          <c:spPr>
            <a:ln w="28575" cap="rnd">
              <a:gradFill>
                <a:gsLst>
                  <a:gs pos="0">
                    <a:srgbClr val="E1CBEB"/>
                  </a:gs>
                  <a:gs pos="20000">
                    <a:srgbClr val="5B2C6F"/>
                  </a:gs>
                </a:gsLst>
                <a:lin ang="5400000" scaled="1"/>
              </a:gradFill>
              <a:round/>
            </a:ln>
            <a:effectLst/>
          </c:spPr>
          <c:marker>
            <c:symbol val="circle"/>
            <c:size val="7"/>
            <c:spPr>
              <a:gradFill>
                <a:gsLst>
                  <a:gs pos="0">
                    <a:srgbClr val="00B0F0"/>
                  </a:gs>
                  <a:gs pos="100000">
                    <a:schemeClr val="accent1">
                      <a:lumMod val="60000"/>
                      <a:lumOff val="40000"/>
                    </a:schemeClr>
                  </a:gs>
                </a:gsLst>
                <a:lin ang="5400000" scaled="1"/>
              </a:gradFill>
              <a:ln w="9525">
                <a:solidFill>
                  <a:schemeClr val="accent1"/>
                </a:solidFill>
              </a:ln>
              <a:effectLst/>
            </c:spPr>
          </c:marker>
          <c:cat>
            <c:strRef>
              <c:f>Pivot_Analysis!$A$10:$A$22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Pivot_Analysis!$B$10:$B$22</c:f>
              <c:numCache>
                <c:formatCode>"₹ "0.00,,"M"</c:formatCode>
                <c:ptCount val="12"/>
                <c:pt idx="0">
                  <c:v>299869.87999999995</c:v>
                </c:pt>
                <c:pt idx="1">
                  <c:v>383920.68</c:v>
                </c:pt>
                <c:pt idx="2">
                  <c:v>475678.31000000006</c:v>
                </c:pt>
                <c:pt idx="3">
                  <c:v>558915</c:v>
                </c:pt>
                <c:pt idx="4">
                  <c:v>370027.88</c:v>
                </c:pt>
                <c:pt idx="5">
                  <c:v>319249.94</c:v>
                </c:pt>
                <c:pt idx="6">
                  <c:v>269886.59999999998</c:v>
                </c:pt>
                <c:pt idx="7">
                  <c:v>363241.0500000001</c:v>
                </c:pt>
                <c:pt idx="8">
                  <c:v>471837.27999999997</c:v>
                </c:pt>
                <c:pt idx="9">
                  <c:v>644978.92000000016</c:v>
                </c:pt>
                <c:pt idx="10">
                  <c:v>433679.39000000007</c:v>
                </c:pt>
                <c:pt idx="11">
                  <c:v>626188.65999999992</c:v>
                </c:pt>
              </c:numCache>
            </c:numRef>
          </c:val>
          <c:smooth val="1"/>
          <c:extLst>
            <c:ext xmlns:c16="http://schemas.microsoft.com/office/drawing/2014/chart" uri="{C3380CC4-5D6E-409C-BE32-E72D297353CC}">
              <c16:uniqueId val="{00000000-FD17-411B-A722-F3291D084669}"/>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763208159"/>
        <c:axId val="1460400175"/>
      </c:lineChart>
      <c:catAx>
        <c:axId val="176320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60400175"/>
        <c:crosses val="autoZero"/>
        <c:auto val="1"/>
        <c:lblAlgn val="ctr"/>
        <c:lblOffset val="100"/>
        <c:noMultiLvlLbl val="0"/>
      </c:catAx>
      <c:valAx>
        <c:axId val="1460400175"/>
        <c:scaling>
          <c:orientation val="minMax"/>
        </c:scaling>
        <c:delete val="0"/>
        <c:axPos val="l"/>
        <c:numFmt formatCode="&quot;₹ &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6320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[Sales_Dashboard.xlsx]Pivot_Analysis!PivotTable3</c:name>
    <c:fmtId val="13"/>
  </c:pivotSource>
  <c:chart>
    <c:autoTitleDeleted val="1"/>
    <c:pivotFmts>
      <c:pivotFmt>
        <c:idx val="0"/>
        <c:spPr>
          <a:gradFill>
            <a:gsLst>
              <a:gs pos="0">
                <a:srgbClr val="E1CBEB"/>
              </a:gs>
              <a:gs pos="49000">
                <a:srgbClr val="5B2C6F"/>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E1CBEB"/>
              </a:gs>
              <a:gs pos="49000">
                <a:srgbClr val="5B2C6F"/>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E1CBEB"/>
              </a:gs>
              <a:gs pos="49000">
                <a:srgbClr val="5B2C6F"/>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Pivot_Analysis!$B$26</c:f>
              <c:strCache>
                <c:ptCount val="1"/>
                <c:pt idx="0">
                  <c:v>Total</c:v>
                </c:pt>
              </c:strCache>
            </c:strRef>
          </c:tx>
          <c:spPr>
            <a:gradFill>
              <a:gsLst>
                <a:gs pos="0">
                  <a:srgbClr val="E1CBEB"/>
                </a:gs>
                <a:gs pos="49000">
                  <a:srgbClr val="5B2C6F"/>
                </a:gs>
              </a:gsLst>
              <a:lin ang="16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Pivot_Analysis!$A$27:$A$30</c:f>
              <c:strCache>
                <c:ptCount val="3"/>
                <c:pt idx="0">
                  <c:v>Electronics</c:v>
                </c:pt>
                <c:pt idx="1">
                  <c:v>Furniture</c:v>
                </c:pt>
                <c:pt idx="2">
                  <c:v>Office Supplies</c:v>
                </c:pt>
              </c:strCache>
            </c:strRef>
          </c:cat>
          <c:val>
            <c:numRef>
              <c:f>Pivot_Analysis!$B$27:$B$30</c:f>
              <c:numCache>
                <c:formatCode>"₹ "0.00,,"M"</c:formatCode>
                <c:ptCount val="3"/>
                <c:pt idx="0">
                  <c:v>1583629.4000000001</c:v>
                </c:pt>
                <c:pt idx="1">
                  <c:v>1739222.4800000004</c:v>
                </c:pt>
                <c:pt idx="2">
                  <c:v>1894621.7099999997</c:v>
                </c:pt>
              </c:numCache>
            </c:numRef>
          </c:val>
          <c:extLst>
            <c:ext xmlns:c16="http://schemas.microsoft.com/office/drawing/2014/chart" uri="{C3380CC4-5D6E-409C-BE32-E72D297353CC}">
              <c16:uniqueId val="{00000000-ECBF-4058-BE90-5794220A2E9F}"/>
            </c:ext>
          </c:extLst>
        </c:ser>
        <c:dLbls>
          <c:showLegendKey val="0"/>
          <c:showVal val="0"/>
          <c:showCatName val="0"/>
          <c:showSerName val="0"/>
          <c:showPercent val="0"/>
          <c:showBubbleSize val="0"/>
        </c:dLbls>
        <c:gapWidth val="219"/>
        <c:overlap val="-27"/>
        <c:axId val="1624077375"/>
        <c:axId val="1460385295"/>
      </c:barChart>
      <c:catAx>
        <c:axId val="162407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60385295"/>
        <c:crosses val="autoZero"/>
        <c:auto val="1"/>
        <c:lblAlgn val="ctr"/>
        <c:lblOffset val="100"/>
        <c:noMultiLvlLbl val="0"/>
      </c:catAx>
      <c:valAx>
        <c:axId val="1460385295"/>
        <c:scaling>
          <c:orientation val="minMax"/>
        </c:scaling>
        <c:delete val="1"/>
        <c:axPos val="l"/>
        <c:numFmt formatCode="&quot;₹ &quot;0.00,,&quot;M&quot;" sourceLinked="1"/>
        <c:majorTickMark val="none"/>
        <c:minorTickMark val="none"/>
        <c:tickLblPos val="nextTo"/>
        <c:crossAx val="162407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[Sales_Dashboard.xlsx]Pivot_Analysis!PivotTable4</c:name>
    <c:fmtId val="21"/>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4">
              <a:shade val="65000"/>
            </a:schemeClr>
          </a:solidFill>
          <a:ln w="19050">
            <a:solidFill>
              <a:schemeClr val="lt1"/>
            </a:solidFill>
          </a:ln>
          <a:effectLst/>
        </c:spPr>
        <c:dLbl>
          <c:idx val="0"/>
          <c:layout>
            <c:manualLayout>
              <c:x val="-7.6791808873720169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308304891922639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tint val="65000"/>
            </a:schemeClr>
          </a:solidFill>
          <a:ln w="19050">
            <a:solidFill>
              <a:schemeClr val="lt1"/>
            </a:solidFill>
          </a:ln>
          <a:effectLst/>
        </c:spPr>
        <c:dLbl>
          <c:idx val="0"/>
          <c:layout>
            <c:manualLayout>
              <c:x val="9.6700796359499436E-2"/>
              <c:y val="-0.12037037037037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dLbl>
          <c:idx val="0"/>
          <c:layout>
            <c:manualLayout>
              <c:x val="-0.1308304891922639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hade val="65000"/>
            </a:schemeClr>
          </a:solidFill>
          <a:ln w="19050">
            <a:solidFill>
              <a:schemeClr val="lt1"/>
            </a:solidFill>
          </a:ln>
          <a:effectLst/>
        </c:spPr>
        <c:dLbl>
          <c:idx val="0"/>
          <c:layout>
            <c:manualLayout>
              <c:x val="-7.6791808873720169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tint val="65000"/>
            </a:schemeClr>
          </a:solidFill>
          <a:ln w="19050">
            <a:solidFill>
              <a:schemeClr val="lt1"/>
            </a:solidFill>
          </a:ln>
          <a:effectLst/>
        </c:spPr>
        <c:dLbl>
          <c:idx val="0"/>
          <c:layout>
            <c:manualLayout>
              <c:x val="9.6700796359499436E-2"/>
              <c:y val="-0.12037037037037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dLbl>
          <c:idx val="0"/>
          <c:layout>
            <c:manualLayout>
              <c:x val="-0.1308304891922639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hade val="65000"/>
            </a:schemeClr>
          </a:solidFill>
          <a:ln w="19050">
            <a:solidFill>
              <a:schemeClr val="lt1"/>
            </a:solidFill>
          </a:ln>
          <a:effectLst/>
        </c:spPr>
        <c:dLbl>
          <c:idx val="0"/>
          <c:layout>
            <c:manualLayout>
              <c:x val="-7.6791808873720169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Pivot_Analysis!$B$43</c:f>
              <c:strCache>
                <c:ptCount val="1"/>
                <c:pt idx="0">
                  <c:v>Total</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7DDB-41F8-B47B-6814ED0C5D2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DDB-41F8-B47B-6814ED0C5D24}"/>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7DDB-41F8-B47B-6814ED0C5D24}"/>
              </c:ext>
            </c:extLst>
          </c:dPt>
          <c:dLbls>
            <c:dLbl>
              <c:idx val="0"/>
              <c:layout>
                <c:manualLayout>
                  <c:x val="9.6700796359499436E-2"/>
                  <c:y val="-0.12037037037037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DB-41F8-B47B-6814ED0C5D24}"/>
                </c:ext>
              </c:extLst>
            </c:dLbl>
            <c:dLbl>
              <c:idx val="1"/>
              <c:layout>
                <c:manualLayout>
                  <c:x val="-0.13083048919226395"/>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DB-41F8-B47B-6814ED0C5D24}"/>
                </c:ext>
              </c:extLst>
            </c:dLbl>
            <c:dLbl>
              <c:idx val="2"/>
              <c:layout>
                <c:manualLayout>
                  <c:x val="-7.6791808873720169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DB-41F8-B47B-6814ED0C5D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Pivot_Analysis!$A$44:$A$47</c:f>
              <c:strCache>
                <c:ptCount val="3"/>
                <c:pt idx="0">
                  <c:v>Consumer</c:v>
                </c:pt>
                <c:pt idx="1">
                  <c:v>Corporate</c:v>
                </c:pt>
                <c:pt idx="2">
                  <c:v>Home Office</c:v>
                </c:pt>
              </c:strCache>
            </c:strRef>
          </c:cat>
          <c:val>
            <c:numRef>
              <c:f>Pivot_Analysis!$B$44:$B$47</c:f>
              <c:numCache>
                <c:formatCode>"₹ "0.00,,"M"</c:formatCode>
                <c:ptCount val="3"/>
                <c:pt idx="0">
                  <c:v>1922086.4000000004</c:v>
                </c:pt>
                <c:pt idx="1">
                  <c:v>1733412.1899999997</c:v>
                </c:pt>
                <c:pt idx="2">
                  <c:v>1561975.0000000005</c:v>
                </c:pt>
              </c:numCache>
            </c:numRef>
          </c:val>
          <c:extLst>
            <c:ext xmlns:c16="http://schemas.microsoft.com/office/drawing/2014/chart" uri="{C3380CC4-5D6E-409C-BE32-E72D297353CC}">
              <c16:uniqueId val="{00000006-7DDB-41F8-B47B-6814ED0C5D2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[Sales_Dashboard.xlsx]Pivot_Analysis!PivotTable5</c:name>
    <c:fmtId val="25"/>
  </c:pivotSource>
  <c:chart>
    <c:autoTitleDeleted val="1"/>
    <c:pivotFmts>
      <c:pivotFmt>
        <c:idx val="0"/>
        <c:spPr>
          <a:gradFill>
            <a:gsLst>
              <a:gs pos="0">
                <a:srgbClr val="E1CBEB"/>
              </a:gs>
              <a:gs pos="45000">
                <a:srgbClr val="5B2C6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E1CBEB"/>
              </a:gs>
              <a:gs pos="45000">
                <a:srgbClr val="5B2C6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E1CBEB"/>
              </a:gs>
              <a:gs pos="45000">
                <a:srgbClr val="5B2C6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Pivot_Analysis!$N$9</c:f>
              <c:strCache>
                <c:ptCount val="1"/>
                <c:pt idx="0">
                  <c:v>Total</c:v>
                </c:pt>
              </c:strCache>
            </c:strRef>
          </c:tx>
          <c:spPr>
            <a:gradFill>
              <a:gsLst>
                <a:gs pos="0">
                  <a:srgbClr val="E1CBEB"/>
                </a:gs>
                <a:gs pos="45000">
                  <a:srgbClr val="5B2C6F"/>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Pivot_Analysis!$M$10:$M$15</c:f>
              <c:strCache>
                <c:ptCount val="5"/>
                <c:pt idx="0">
                  <c:v>Ahmedabad</c:v>
                </c:pt>
                <c:pt idx="1">
                  <c:v>Bengaluru</c:v>
                </c:pt>
                <c:pt idx="2">
                  <c:v>Hyderabad</c:v>
                </c:pt>
                <c:pt idx="3">
                  <c:v>New Delhi</c:v>
                </c:pt>
                <c:pt idx="4">
                  <c:v>Pune</c:v>
                </c:pt>
              </c:strCache>
            </c:strRef>
          </c:cat>
          <c:val>
            <c:numRef>
              <c:f>Pivot_Analysis!$N$10:$N$15</c:f>
              <c:numCache>
                <c:formatCode>"₹ "0.00,,"M"</c:formatCode>
                <c:ptCount val="5"/>
                <c:pt idx="0">
                  <c:v>467666.56000000006</c:v>
                </c:pt>
                <c:pt idx="1">
                  <c:v>486157.98</c:v>
                </c:pt>
                <c:pt idx="2">
                  <c:v>546351.92000000004</c:v>
                </c:pt>
                <c:pt idx="3">
                  <c:v>972200.8899999999</c:v>
                </c:pt>
                <c:pt idx="4">
                  <c:v>505785.26000000007</c:v>
                </c:pt>
              </c:numCache>
            </c:numRef>
          </c:val>
          <c:extLst>
            <c:ext xmlns:c16="http://schemas.microsoft.com/office/drawing/2014/chart" uri="{C3380CC4-5D6E-409C-BE32-E72D297353CC}">
              <c16:uniqueId val="{00000000-4F9E-4F0B-968E-02405B4C18FC}"/>
            </c:ext>
          </c:extLst>
        </c:ser>
        <c:dLbls>
          <c:dLblPos val="outEnd"/>
          <c:showLegendKey val="0"/>
          <c:showVal val="1"/>
          <c:showCatName val="0"/>
          <c:showSerName val="0"/>
          <c:showPercent val="0"/>
          <c:showBubbleSize val="0"/>
        </c:dLbls>
        <c:gapWidth val="182"/>
        <c:axId val="1776367519"/>
        <c:axId val="1891901839"/>
      </c:barChart>
      <c:catAx>
        <c:axId val="177636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91901839"/>
        <c:crosses val="autoZero"/>
        <c:auto val="1"/>
        <c:lblAlgn val="ctr"/>
        <c:lblOffset val="100"/>
        <c:noMultiLvlLbl val="0"/>
      </c:catAx>
      <c:valAx>
        <c:axId val="1891901839"/>
        <c:scaling>
          <c:orientation val="minMax"/>
        </c:scaling>
        <c:delete val="1"/>
        <c:axPos val="b"/>
        <c:numFmt formatCode="&quot;₹ &quot;0.00,,&quot;M&quot;" sourceLinked="1"/>
        <c:majorTickMark val="none"/>
        <c:minorTickMark val="none"/>
        <c:tickLblPos val="nextTo"/>
        <c:crossAx val="177636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5AB0-4737-9091-259C52DD303B}">
          <cx:spPr>
            <a:noFill/>
            <a:ln w="12700">
              <a:solidFill>
                <a:schemeClr val="bg1">
                  <a:lumMod val="50000"/>
                </a:schemeClr>
              </a:solidFill>
            </a:ln>
          </cx:spPr>
          <cx:dataId val="0"/>
          <cx:layoutPr>
            <cx:geography cultureLanguage="en-US" cultureRegion="IN" attribution="Powered by Bing">
              <cx:geoCache provider="{E9337A44-BEBE-4D9F-B70C-5C5E7DAFC167}">
                <cx:binary>1H1bc902su5fcfn50CHuwNRkVx2uxUVJlh3fEsd5YSm2TIJ3AgRvv373cpIpCSNZMzhTp/b2Sypa
Ws1mN77uRuND6++f1799bm5vzLO1bTr7t8/rj8/LaRr+9sMP9nN5297YF63+bHrbf51efO7bH/qv
X/Xn2x++mJtFd8UPOEb0h8/ljZlu1+f/9XeQVtz21/3nm0n33Vt3a7Z3t9Y1k/3OZw9+9OzmS6u7
o7aT0Z8n9OPzzFU35mZ6/uy2m/S0fdiG2x+f3/ul589+8EX902OfNaDZ5L7AdzF+wRXmSFAcf/uH
nj9r+q7482OBXjAlYo4QU9/+8b8e/fqmha//C/p80+bmyxdzay28z7f/3vniPeXh51fPn33uXTed
bVaA+X58ftl90TfPn2nbH/744NCfNb98/e1Vf7hv7f/6u/cDeHnvJ3cc4lvqqY/+yR/H26bUf5nk
P+AN+YJTQlTM+YPeEC/AEVRIhh70xpPaPOyLP7/meeJ4/b/KEy9vTHcz3dSwUv5T2ED0hUAxxfQR
bPAXiAuFGDjs2z/y16P/wMa/pNHDHrnzVc8rL//v/yqvvLqBqHhjy8n8J/2iXlCGY0mYehAl4JdY
KoLpH25R7L5f/kWdHvbMvS97vnl18b/KNx9uWt08e33zxf1ln//3AIbQixhxFMdS3s8j8gWNRYxj
Jv562B8g+deUeNgXd7/rueIDJIf/wWnkYdXuxq17v/Hv53TCsBSx+jMwqfu+UC8IJxTFiv0BH3zf
JX/m28e1edgbf37tnuL/s5P3h9vmpituuv9kaBIvZBxzppC3/tWLOFaSKvZnUIKP/zDwnzD4V1R5
2O533sIHQfb/FwSP11n/qECPkKLTb6XrnVLr+59+e2uop72v3svy9xbdX5a9/PLjc4QgKf+jID6L
uGf2e0v9H79/e2OnH58r8YIiJAhjhHLI8xxQtNyeP+HyBVJQgskYEpDEMUHPn3W9mcofnxPxIhYC
/M9jrggkKPr8me3d+SP+QvCYEiUFFhRxpfA/tgpv+mYr+u4fdvjz/591rn3T626yPz4HOcMfv3VW
M8KICioYO+e24fPNO9iFwC+h/2PzNe9rrfhFiY6K/WRnqKf/8f7/htzz8+7IVVjP3DarSCdWNmWy
79v2scR8/aMI/6MG/zfEg1fuiq9EVG/L2om0NKMx7xa+x8WHYt37r99XH7YjD5oFQtpd+arda+nq
nKcKM7u/HVCr4qQkFUNJTOMWJ5SMU376/sMe8wG4/+7DLPi+WoqOp6slkiQyJoVJ+o3L374vH1Lj
gy8T35cv1BgPldp46tBAXyG00Pb9Elcxv97k1K1ZJHZuknYbh3fff+AjLyRhpd99oUHGwyzOD5wb
JdarvnS5O1DrSp1+/wFnQQ+s2nNxcPcBUu9LPDnC0qW2YrniG8nxYagtLq9ZXVb4FXK1qw+jHbtN
JHFD0XiKu3I2F99/Pjqb7iEFzqa+s7wH0dqa2Y2lrijm8SCxzARBX4eajEudjMUyt4nbRHTdLwWq
U4f7XnZJVEjcwjYpAGDyvHLvaNAUWzs3bAETSMwOxPRfBVv0E+/3mAO9qNADUhe5TSzdNit+jfut
T/LZVT+Fqe7FhkZWmltiWFoTrW9jaJNcd5Gu3SFMvBcb+mhhw1gyljaTmH9By0iTNd9FWOSRXmQw
zVINAx5ZOvXRvqfxGs3myIe+F4Hqe9EArwWSW1NBNOipqw4b5ytNxhGgdAyzjxcOcLVFXW+HKOv6
TfA3VsN265d2mqInYucji0d46LcydvGyMpntPWrTraCRSVZdW/OEgc6L8AHsCQ/8qq9p4/CWZ30k
9/a0GDTMabNsSB9HXVIV+BgP4oT2uVyGSGTT5PB00fG+i9O9Q82aDnpa1jCoCQ/HYz+POVlbmQ24
3j/UZit/6gRXH77v68ds5QF5qVeJFig7MhytOm2sEeS6oFs/fqyZrNcnTPWYx88/vxOLSlkMtRSD
zExDt8uo3eOfVIFMk3z/JR4TT+6L73O9xWAcnjkx4jWJq5V+4ns/pGHiPUS7WfRCQgctmxvwwNQU
bUpdJIZA7T08O026rdkqmVE71+CDTa5RYuNN74EP8PBcq4iNagXrK9SO3eWAWLekphL78ibIQOfC
9a57Bd6IRdHKM2VL/YuQ1r5ZdTFuT+h/XukP4Jl7eG7VvLDKFSJrGzvm70Tbju4XMu4qvpqiUom3
UOsSfhn2Lh6qxWagWwpdhWwgdNIX005WlZR1u8RheOYenle9jXzCRmS1LQZ6aVs8y6Ry1DyVm89m
echcHqS3oiridoH1NObbYI5VQYR400b7zK+KKW/rdC3w1v3atJL85rpi6Z6w3GM1D/dQ3qxFLvp9
gbjbyGa4KiObC6jsawVlnZyWik5JN1X7fNAlH9pTve6FOHK6kP79HE/cBRrYiwZbziMh6yjPWhG5
I9GLyKRoyBOLEZ1h+ZB58f3FzuZp1SMeVUbi3fTpjvJ5Slm+783FoIjYfips238dIrq0F3SXHXu9
EoK7V1hIWf0qa8zYE6o8Eva4FzhkV7GhXzTNBpFbcuC7uh3WdRnDgjb3wkZjCEfbWonMRMOSFROi
TVIQWXwJAhrzgoZDhsuqKmhWDKv8xCCVvrZx1IbFbObFjJEUXRVFQmWsgZ3MwSHZ7onTZrNPrLJH
UHZuM96NeVaPG8Orkdm0LTm+lNSY+Pd1QIC4Epdxn3TaDW2Cdz4Un4d2tzjMLcyLH2TpGlhEhmdc
5q1LhhHbNtkcjQLTBfPix073enTciNSNDKV8m4vjzvvoGOZ2L0jwXMVdNa57Zl0xZXsnqoSboXoi
Bj0CCeZhHxrFZbRCasgqrNsDnlB1zLceBy4qD/qw6+kl0v2eYdg3JnGJPnYFfapqfUx1D82IDx1d
m2LPCrFNr9zWxVALjCWqAteNB+eyctNAzLZnUd6qSzyv9TEnkmZBbqUemskws2GqQfqUY3pYiLCJ
bZEO0516aJYd3uUswK3RhMtDTdyc8FrQsDhKPShXcWTiJbd7NiLdnKzqisPM6H76vmXOsHkgX1AP
r13Oyn1H0ZItEbuFbWc9n+hUD102LYIHvoEHWTKLuavqfMkIAPedmvoqRbSvw7bj1IPs1EEptOx8
yXrK+KVUzB2rrQsMN9SDLJraJpd75bLCNvSlblrxalibQNU9xEKizusakSkb+ypHB8OwPYhyrcvj
9537CGipB1qWF7aOdmjzDJ1er+qpmK5dnjeBoPIgC/3RaEaumk7GFYt9T5ZYNj8xI3kZtm6Ih9oa
6XksZrxCSej2Qz2wT5vauicW/iO2IR5oWRXVVMp8TsemRAmxDiejUi5QdQ+0ZKgozis5g+WjTwZD
fdepNQ9zK/EwWw+7iSLL/1Sd4hEnbOahqvtoZTJ3skRzqhZoGuOzdBtumLM77uy163ge8saC9LVS
5cHJ2iWc4yrQ7B5aS8pkD6euIJ3i21HT5lToIrCzRTy01kCWkroA4Wp3bdYIZWDnxdew2uB8iHLX
MOtERN5s9ZyyKV+SFc04QUM+haUo4mG1LQfc9SR2aTfvXbKU+tZVOwqzOvZwanczDX25uLStS5pw
yj5Fs8WBwj2cxjkzZCujKRVj3B3tqm+s222gcA+mo1VrBZWwSyuuyoRXukmcwSJQuodTQaqo0JEC
1ZVDrywcj7zJRdGEHVFhD6ero7ijIDnbEVD1kr2TnB2jKZI2bM1gD6p4XFXrhmLONtp2JonIwLJh
wdPnoOSEPawinWPTry1k1tw2V6qy6GjrakvDpOP7cHImH0ixMZdNivyGKvzWUvI2TLSPVLtV7bZF
U6bL6DWEx08bFoG9QuzhVGndCtSJKauWUh5dyT70dd6HORR5OO1qGxklncsiPelDU4lrgcc4bLGf
D/zvxi84Fl4Gu8oo7Zr1i97QR8zal0EGRx5KpV6KCPL1loFYOyU7tiVPNkuKsNCLPJzOBXNlTc2U
AYEq/pVOEAcSq3cUVmkgD6hubHDc5L3L2t7sx34Vv5d6yAPN7oE0l3oUszYuY5vZDm07gOr1Uyev
ZyEPbA7O5IG7PlUdp3qI2imD0371StoCvWqifPgY5lYPonjCkwGiLyzHMi8T0i6/CqkDXephdKe9
qvKydplhM0mQXD81o3wTpreHUbrQddEEZEeV/UDd9opR+ypIdOwhtF/yvJhIMaVxHkWHqMqv9R4H
9gdiD6EIDYPYIxylPFY/tZv4JM3WhIWW2INoVEKdbnqwSVN2b/uiP+VtGRbJYw+ddFg2skIDP+33
+cIs+CVlYRk09oA5bGzi/QB7O94W17Jfs87kYcessQdL3Uxr6RwoPbQ/77M7VOKXsBXiQbJRlRn2
GpxIy/p3s6q3cudhcSr28OjGuV63hU/ZZiv0Yd8mnFWO2GOY4h4iSZevXaXVlNkIqAS4qy9Urn4N
k+0hsm60ZUBdjlKmobqNYn5DFQlLbMBXux8EYWGPYxNDSi41XxNmaXRUSsxBwKHKA6W0s5gom6N0
5O9Nf5TQxQ6xCVUeIsuiHOlYblPmJJA5FmKHBI38Q5hwD5MLnHdtW5fbFJXDxdLA2f5IqilopQBH
8L7BjXNxHTUgXDbsDXHDZ003E2gVD5eKsi0epbKpackbBrJXN4fK9qCJFi0IWRG0jTGJr50sqquR
rjzQKh46S0vnBupZWChs58keVz83vAwqsKjysLkqR5daAfJXsk3VIaY5748YKiAdFFqo8gA6LC3N
4axmygo63ETL/BEOH34OWoo+WWsmJDacgF2cK9hxdLVOiMQiqI6AhpC3FstZQD96BcXX9Y3r46t1
HgMRKj2EVq2IqSiJzWRNXjVAOEylEDjM4j6/yhUGOJdunrJ4aN7SqDlUpgwqUqj08cmibitIazOM
GT4sLTIHRKuvYe70ALrBiYKV7WSBzcA/FXa90oK9DxPt4XM1U15LHJlsQ82SNL0YT11bhdEwqE+s
6tnSqRm4QhkcIe3Hbu9fC2Kf4hic3/6fC3EqPYC6Adu6RIvJeuDaNIl1JnoZzfH2LswyHjyXiEBU
pA48Om9fLFRwq5W/B4n22VQTJJ5y4L3Nal68W4fhMm7bsHXoE6nmXNa8aqjJ9nks03kp8DFqus9h
envg1DvNrVlrm6lyONR0e93Kp8rOM04ecKZPmVoi6AfPgzBZ2c7MJUbw6tXIhzVZKuy2Q5j+HkhZ
3a1d3TOTNZr81pT0YzTUH8JEexBdgfHYcJEbwP9sL2ZrUIJmGnZUR4WH0gKXTBuCQXGKPrZz1CU0
Gn4J09zPoes41CYubcawpku6E7fRpJNNWR/DHuDhlJZFIZ1sYEmu0Vvd4g96DNuLU+FhtNFshA0z
iM439XaK9U854UHHUNQnSDVyy9tx3kxG8hZnkcTTW1QsOojpS31+FBZzzGYNKzGP9y3ZzJgRGshO
o9yDabvm0bTa0mTdPMRJPIvTuBRh3WG49XA/+U+GOkcVmBzC48t5wy8btoZhiHvwVEvRuGosTCby
okvEvr1URoedm1Gf6aRglcQrrk2G+vkNQeO1iadAvT10Gg2nE3yJxsxy+VEj87apx6BNHOUeOPOV
tnUxVCbjYJlEAQk9GbdWhsVDn400kWqMql6NcG5TjgeD67cuUj8Hod6nIsUx7LM6Fo9ZoUlbJQs0
KlIXRzzMMD4VqaoUsNKqDXCjtvYgHefvGh3vYR71qUhzxXgOXLsx25XBB2Tpa8ikYafn1KchuaiT
PVt7WC69onENsXarbZlINddBPRw44b+PUeACx6pYO7B9US7i0EHzLMtzOoadI1CfbrTVzknT5kMm
I1uPh3kZ2q9OiSVw08joff1Ri2O6qGjITLnZY1vwKgELsVPQyvQJR0Ksq4zneMhcw/Eh5kBiJ7D7
TcKke4idGmDgWdINmaWimBK04/qm3tauCJTvZdNVG26WFWzTl1Wf6Kn9eW1QWM5jfjrF/dJGwoHd
OzlcbDa2p6Xpy4sgy/h8o5nMZBuaZciqnO0f4z4vLmCMwVCHGcYnHBGIkwxv4FbV5aM9CScJTVje
8zHwAV5ahcO4uu+GGSxP7HJpjPy5HJuw3jz1KUeibjFwjM2QCTq914V9u9TT+zC7e2m1yLeFNE0x
ZqJTv3X9gpKS0qe4tWdIPlC3+0SjEVrmMnLtkBFTyd8EHCpcuLqdA5eMl1mnOFq3nbA+A6SqhAP1
JYm2SKRhhvGgarYIzugbkM7mzSUMDVd19xSL6VsJ+pBhPJyOegV6ncR9NvO6yBM4La4g2Ai91oei
VUV90Q7b8t61trkklkQ8m8pyZB/gipsY30D/z5r3SrT8ooZzyf6iqjvKE9FoaMYX6yjjJdlpNZqf
lxFH7hBvY1ff9GUZjQcOhSU+Iga99lQMbnXHBkGX7MDhlHq9dGMkqwyLtaSXeV8t2wHF0E34NQJm
73ZCpLLiSMQKMpdGT/upGFVp4bYd3t2pxXjdj3ZuSffbKijN30yUR9XvFrFxzOSO1ZyZFd73OEw7
S6t4ZvLQCYzqA99E4S4K1BfqmssO7oXF447fY6mWZMbcXA7amj2LeyW309I2Mz3OhhYsncVCoYXd
lDM9FM3Q9lDPKrUdpNFEJG2vDXq5dHmlLhuCJprtYO3lwEg9X+571L423RzTI43neU+q3OT7+wZV
vQirQqgXMNuVOl470meclT10faIEF0SFxRuf6UVovkEh2QxZydvbnNbvc6HD9PZ5XjOcxKwNBr2Z
yzOrmqucobDmIPGiJJuBmYKgg5RhpdYkj1SdqAb1gTbxKhsTF4TXcGiXFbiqkrUev/LKhBV9xIuT
FVxvnTsR95nb3PAaboPpi55MbVgoI15NU3Iduw5zmxWmptcU6ldg/rvpU1AoI16gNG0xz/Mw91kt
C/eLkeMOzfxOToFm9yLl2OkJromoPlPQVE4Yrq7LvQi7aUZ9klcMEGZUDn229UPeHvt4qbJ1jHXg
LseneaFOoz0isCJ50bI1xbZzeyIiVo/HIOP7VK+pHZc8Kqc+g4Oqr8tAr1hkw250UCzvl8KDW8w8
bqLPylgBj2yyYm0ORFX4a5juHlxnNu5kdnjImlHtMhH9SOCMXWIcxsWg2EPsMnQNitcCCgQYkJY4
sVSp1jqwQPD5XoNY8movIIXDGY05AKOMH4ZoibMw43iYXWK4Ks1018Ot2qa54mRmU8JHw8P4/dRn
e9mqK4DI1EMY7py4KjsS/wZ72i2sFYw90Iq1HffWQr0Kraz1Mqe5y0Q8icBF79U3mDRO6XN2qnRb
HOwyFomb2jYs4PiUL2TQ6lbYJ2fR1pHbEtjmt3vr2jDmJ/VJXwyTriqresgYF3N0WasOHeJ8WdgT
Z4eP3KujPvEL7rbmOW9kl+0NIubDUOu5P+Siw8NxsX30AS6cvY4i1VRHqOJqdSgUbEZPZcRYH+Z9
nx8Gl4J57CqoP5dtLOUhaisYQNGW3dCEbaN9ghiPyQ57lnNkyieUv2x1AffOtnGb4rDulE8R22Nn
4Hot7jJCkK6TdakWmlQ1nQMLLOTBm9u9NR2GB2wOA215dx+Bvf85KHT4LLFmardJub3LBtPZw1qQ
r/vEQhX3kF2MO7K2Fm0Gte2pwfUVxjasBfDtCuUdKnobRXGxwASRbKKzPdQRhaOGZX8XZhSvXJ7K
xhRombssd0amrsRF0jIdmCp9ntgiYFJkBx7NtFmj39tqIZ9NBOkmSHefKGYr2vW0Q20GtdZrMe8v
m7F4YpbLeb09sFX0eWLFCueM3PRdZldcXqHGyASmXi5hScynii0113KuSZuRWvZFUkk5XpXCdWUY
TH3CGFVrT3gXt5lgXXUYlbyoKdrC8oBPGTNDVxS50l2maLlcW9PSg5iq+e33fXqu7B8yvFc1q6Xe
5gVBfm92OkLJH9tCpU2M+j7lsKvrwmosn0MmN55LToo+ix2ZhqRkU3WGVqz6sFwce7m4jbQdZ6Vh
bTL83k3xuwLlgcvegyxMsphkbEB36K6xozbQyt8d6oLcC5Po7le3HSzGqAZWYIqEyd/NWzS870oW
dpsJpmrdl97oDrkY2+Ycg+XboSUsmzSTQUYnPpdsgO5CnLddA4fh0JXoR/k2ooUONIxXNbtt6ja3
6QYYAjDC6QCXD8dPe6P6OVC+t9eFgTR5PkymyXYjfofe0atWlB+/D6qHoxk5Tze7y4+mcwyn1XBD
EC6t9nmVjNbNtwsZw0ZvEOVhVsP2rSvzs9kHmUPD0crLljMXtNwJzF+7p3yPK7fuBpTPixLaTggP
CYxUCctQxKeUKb6LjVnov6FlQtux08BHOFRdV81BzReYenFffTkv+QCVbZOhkm9HWcTxmx7u870L
8qzPKtu4hg7XMkbHAhVrf1XFKH6N8cDcE9p/67T8czwmPrEMxh7jlXMHS4c71v40ItS5C13PoznB
RszhE8zS4/Y4smbtr6MNdgXXg6jG9hNGhJ4cx/uloNHGErXnDqYrbFFd/9R2bMWHdhw3fdiLMt9/
7/NNu1M3QM49OFatn0lL6ct5qKarTZfzieRuAREwA6NM4lbT/UOJ4H7L2/o8p+JDp+Vgj7Bhozt8
apZDGQPz83U1lNF+hN+2+hXBeT8HFZLEJ8QBr3HE5wvJaZGj6vWsanWNNS7CEizxKXF9VLMeuqN1
htf4luPxrULFm7Dl4sUY2GtubcSXOiM78GwbTC9xb58apHEOhA8tFS/KOBe1xW7XOhsHmNVxaeze
LEe1AevhuMAOobjkijdlUHcN5vXdhxUaFeN0ZnUWDRFPab00p31oip/D7OTFnHLLHewRSZ3NPS2P
Ub5/nCr8lJ3Oxn7ITl5pgOJCu9q4OuON0++BVU1/kmWx3qwVip7obD72CC/oxLkSBR7GOrUrqfmx
nEYz6mQ20Gy/1AvcaHtiU/2Iy33WHNATCjfzpkhhMH1dnxxbEbDDoibV7S7xARjdYV0l4pPoihJ6
J7lpwGgdjoDoxj9CIApMYMLruEUwcAQaAV2dITiOm8hymgh6IkA/4gmfRCcIcDl3uIN7rItRTJeq
sezUSwXn/ryYmziIXUDE+el3togMZHOtRQRjOmCQINx1L35Vowi72kqEB2y7qVHrzVSZEGw6Aeda
JnmJwjYrxCfSzRpakcShMtNU0tMwb+1RKh20jyPCA3LMB9Q0osmPaNZXcU4S2vNAm3sw3kjc2H4C
0ftO01yNp1bjoP0h8Tl0G0xd01bV+bHW+KVg0cuRh3XxiM+hA1rheRCuzo9DtYxXlbVTFjHyPihs
+hS6nIly3kgEix0VNh0GQ5NNNfQUJt1Daaxqk7M40pnQdngJrNePY7GFDYclPoeu4KKIZux01my4
OTk1dRfx2IRRUYlPo4u2Fc5TWqMzXVXjcSjldSSMTcPs4sFzreLRWdKr49RSvZ4wXn4eTF2HNRVh
BPn92FL2ahob2qljN4+v66bPKtOHJXGfSreV61q0BRRSzeR00rkuPuwNeyLynl//gTTrM+lmYOfv
cMMPQGTnPgHW2GHgMFE4zOZegt1hSI+dp0HDraV2O3TF0I9JbjoVRkiDgdT3ja7aDe5c1EzBRat+
x4lscvOyX2sddg+S+Gw6x7u8EyNRx3bZ4cz2LbAAnrDMt1btA3b3uXSU7wiGUxVlhraIzC9j3TK4
YFTA4NAPMCmpzzRTO0nEOLcs5dBdWw7jVLMZxnEOfDuNTsVjug+owDetYHjOckm0COrAE5+Ft0Yj
grkb03m7ZKbiUpNYurS0te2OQevCp+F1Wk9colIcV1NyCFBb5bpDyTgiYXsPn4dnptrtcz641PXl
kLaSLsdB0aBOM/FpeFCyMTKQ1qXoPPdrYSPc1KYiiF8Nf+ng/pIexExtPoHw2cHs5sbSMekbHMbx
I8zLxrR0cBvedS7FFRoOpEZVAh2J38O86qG9ryX89QCST+mMyzaRUQQXuFYah+U1n4RXANc0phGZ
0h6YNUlfm+J1I8j0S5DuPgePLsNAEB+nNFJw6kHrvUj1xsIM48/80mZBPRzETinMqMRvunatf+fx
LsLKIJ+At7NyGSc327TreHOAydUwEYbmYVNPCPVq5kZNZCeS2VSL1ZxYPsF88agOO2MnPgmPLJjs
TT3ZlCxtCYyr6QNcr16fiLGPpDZ/2JdbRhiZJTabbgLtSR3X5iDqwFqFejhlteMRGcHqewvjWpZp
+xqbMuwuIfw1k/tBINqHdswb4tICbs8c1VKWB4jHYYf3xOd+7XANItczFFZiwL/blrxvSxx2vRr+
dtR9zcsWWsr9QF2qYxMn64DzNM+BRvd9lD6yTfTZXw2qR1z3RJ543rD5Tela3Z42jhtzomaALPj9
xzyycHwmWD6TnKIKXgL+Dk10nDErDt3qwphgxJ/3NZS5mCYO0oui00cJNLCD6rcvYap7cK0rCAfA
ZzTpsA7bQbdjdbRtHpb4fCaYGmg8tYyZdK7dfGpLiRMYYLyHZT6fCba1sN3YzWLSqdybE7L1zzuq
WKBLPbjuZUv3Hno96SBLcWibtToAJTWM9g+n+vdXfSc2MQmZD2nURuZQ7UOXkGELm9wEN6DvS88p
bQyq+JDqaSwPO2ubg4Qx+WG1mM8Bc2iDlrMp5Kmquv3DHg/rL1XcPTW3/hEo+SywnCwLckBWTplB
cB/lXHAMGD3VI3xMurfXhb9wA+3qTakTjaB1Pkef+6b7EAQkn/1VI4xy+PsZ4gRzvvImmXdgJ07l
an8NE+/hFDU96ffYqBMb2g4IuNXKy2uOmk6GYdUf9zVY6aCKH9RJWZRUCl81cWAl5pO/YBDXOG0Y
RLcU0t+ZD9GFERKJz/yCPwah81KM6rSfRx/VC6IHWsolrCDAHkyruCmnfevpEaZwXXRmeBPzsGmC
xKd9xQxIRaRt6ZED/aHqomva6bdBS+WfKF8wRqg0pKP/zdmXLUluY1n+Spmem9Xggq2tVQ8k3cM9
9oyMiFxeaLmEwJ0gABIEv36Oq2tmSmklqU0mvWRGBp3OBbj33LOUCVuG+CrTPXTXtR+Wl792/B+G
zaOO57ZfJn7MpniDhXpms+uLVO/P/AQvL+O/6XR/5HM1Uacz4St2HHRkT65a1+HecqLUATpVXp3V
sPv6zu3V/6K5/rVV/XcfeoHi/wXq5SGpxrWde7Stmx+3Iu6bPtGHrsNb1x/rauv6fJ4GxNXkYzpj
b9/aYEZ+nnrN6uGIxrrthrzfuzWc6ypE1Zc09aDdjQSU1i5P27B7n6PI0fNtx2Kh71Zb+Zidtyjj
c5ebvVdRk5NUNqnKjeMahdDEcOtyKudJfdGmHpY4zzreDOd072D3XAY09FyVYV69KbqQttt7WMj5
tclph4gf2HyHZrNjHsslYlkuA6zhu1OsOwbr+wGYpRty6Ar6BSdo+TS+6GRAI9PyVvwy6AF/bZY5
W0sGum+aL7hCXbGuPmmu9rBsSF3qSGrHLxNAW77km4lJ7HMqmKo/jU3WyW+DWhD0AyHnPpkhh9tX
Gz5eSHonvQ9hy0eYRtnC+8bGXckhnKwOO0Y2ySFKqs0WlcCTJouV+UCHMll3Sm5isTJ5bOiyD9CF
zVM4ISVgLDjTK7trydKIkjSpT4uasxlVmBhEKQYY4ObbrNg8gr/ZTrUqnUS/zwsgJJuacGbzaHgu
EsahG1mbqyrjKBuxlrBhucbdmuomNwKVXS7jqB/KZRiTz7MbWOnDvvFvS7OH9KjNRLv73SSCvdZz
wvl96qo0vd2rWiyq7HdoVLKj9EsMR4Sd8aW/g0JD4H7pptE4OUV2qZYjgasxqrGBTHt3Cizd/NdZ
DM2kimkFGHzmUCDJ53jjmw1FP2ZIElMiuthA9ks/+ggqlh2kLTjo8GVdDgH3cprOCQWQlpxZN4o6
71gnj6yrx2Jimx8M0JQQ2fVSWa72hiy2O3iDNeqeTWppn7ctUaPA4zAly7FNqd2KSdVZApfYOvQl
+ppafBIuHacbue1o/GpKls3kXjuA+bkUlCeooJxL07SQyJBt38WdMOwIg5VuuxkTHwPVJg7eajvG
zG5V0G6RYJkDk5PBZI30y9ekj6CZMSvP9HtOh1iUdWVp+xW9j+jx0gzZtJa2pZO97xai2DPoWfNw
bAOHTEhOZKLXO42S7jaufbd/b8Z+WqCYMdGU3c94aevDqOuQnPUQt/OHOhoESbC8dYrRnA+Z1PfE
uS7+mrVVJUJeKTmoK+/XlV4T02TTx9azQAt43hOo0ZVPYwlrZ8r6b5XzqlN5N3fiK03ZrD9AXb7X
BaZL2Lug85jCHVh9VuCXpyj7NrVm3c9DokN47nYSx4Wu8SZ9azM85ifVJfu9k0QdSTKL9kGYhbMD
EY2un+au3vZHD4FHEmESDd8AUV6ciNnZejeOv3SY3NQ3LZvTcDVNbV9dzYmMzc0yS54UbZZmySfB
ECb7PfZddQ8JeXSNMdL+DdKWIW89VaWCQVBUbs0u/DUyJNb9BPOg9GMvm0yWuofS8R0PdT/ex6pq
4rOfmiUcorlut5MMhrArzraOfCCs6qqnepZKFzq4CJ6ILZEWIpqBIchv3S01d5bsjpxTzXT/guCO
anpYkNBdH0ndTbx0W7ti7fRUmPoI/nRs7ma5sm89PAHGogJk6B/qjRgsJfW0+QOjkzOqJJhWrTdd
C4PjY6UWDXlNxFf1XAsrs/OgtWa5qyLDvta1bHWhRtu5NhdjXBEEHWXpdrb9YF3pfEKi0tkxifOx
373+lDqJMygpUTHsDDecRRMpa/J2i+x4GC+WPDkM7fbufvYQph2oNv5zQoJniFdTiIosEAXB7lAu
qbcKrzAv2r5OhoINnk4fwox8RhgcDQMsz/K02/fm7B1Uss8B+XSmyuvZ8Q3r/a79NOWtwzbtcyDe
q/3mlzWlr4jgMNgQOrjVyKceR7ncSO0Wc0CIIyadh9EnA82h/RzpVS9j2R3WVaV9yFXsxH7jN6uA
WmyIsZInUgXUiFCy1fXZImUtynfTNNF7RjuTlHXGlqi0ZI1lycO+t6+G7Gl7Wt3u5dUyTFFVzj6p
wm2KsJxHEtu2eQ/kKAld3vS9k0e4xit3LTt0MPcBkJg4Zl2D/c5VFZ3B887q7XZQpO2KaTexKzJt
eATdgrFV46Ge22385Eg3QIwxZs49NhvhyWnCyLi9n+B018z5GjIE6MBXPJ+9kfE5TqV1D9TO0fgl
aTbR37I+tXjGxnro6+9pL3Y8CQMs2+xhUqJZj/hmW3ugQ5fZF9atdXVtVdOmZ4hoWX+3mAQBXwcs
Rz0rkcuUVm87rJLhaW7rlp7s1CgFbjMUWHhGBHyUruvWBX3S7ZCCM5yAQ0wOViP1MF9dGJP3+Ezx
usa12z73MI2HJl0m9ZQVM+wXVRFhfaqKrdLb+zZhLj0JqaF1oeMIsuqwGhEVQS8OkXJm8hsEJCuP
CwwURP2I06X0YfNBNadoTDJMjpqqi5bnYdin8RrU3XpHVTTu2zfsGnbs4JFKSPzuMqlJSZHWM9/v
diKzwWIl3kN1Fi1uPYxmGdLNbj0W5PkB6RfWnImrpTttjkl62bm3Gp4ACpfR2txJvOUEfnVqX1Qx
Nz6Ed6ncepkjNU2wI88GrG95l/rWPBAXi/nLbqzO2rx360bPIUvJdp/h6a8/tnZDBA2+ZDpVDx3g
MP8kOlzE6z1pzVaO6ULdCft/pBUubjKsB79z7hWKJzftuJlGrcfVd9HwwuPghscV12y9nlvQQh/a
tambImvryX7cNE/opyHhQQw5HMLIqHGl0l59H+GZSh7hWp/JLxOcV7rPcz93CforGCKmxdAmLT8N
3NmA+q0mgk35HC0BW2G/YftAtQfLWBbRlZcWJg1TAEePR1/hKh+ygmBTb8/7MnfPfMHzfeiI71nR
bDsw14GP2QeagBdRpEFUbYFeNONIRJz4cpX0nLI1TzcyzPe6nmtIjmPYdx61bPvpLh20j/qcQYH1
pZ1mtx1p3GTrQzwSA/9dzFnlcyZGXx/XHkk5j3NSpx+FRcpLabMKUIBoIsfuw6grfiSm9ckD5k/p
+NR33O43cTvOExbMDO8GaPEgqomrDiaq5q4aeqm3QmSZegxgvkTFxpphfbK7nyGIhu418QVsDKuu
QBJ9ox86C4wprwfVz4c0QFfbHyFRiw+iSsexNKRKcCeauo/vskVfklyZvRQ/AtTKWhVSrDQph2Um
8ZJ3+xY+tKKHa1K+D1AtPmuI29JXZdl0a8YFFVdRqzYq4haucKHA6r7m3LPUfUgW2B6cFPMa+z3f
CMr0FAJe7fKQZpE7NzgF8m6ZRseLhLK57EK9jFfdhlf9EyXGr8eEd32MZBIDy7M4a1JRpj3owblN
4/0osRl5lxtatfZ+AXVKjsXABt7fdrYKDyJcAlB3s6c3VoiOHAQSbDZsoyg5SrNnWPZ9v0bq3LGR
uuelr+L1aTRLXGBGMiefQ1/5tah8nZ1QriE1s4OKZgLSnputrU+10zDWyKCrxmabFvvupM4nhCGx
0hmSnBTqgQ9+4OmNgpXSkDPZzrao44QpeLbqJJ+mrGXXwqvwPYP6p71L8OoMV3trd3k3R4l5JB4W
r2iBUnermEh21E5xZh7XSIO26zZeMMjI7zDPgVgb4aUp3MghQ74LRiQvk4/UoUta1uXDsLmbtevl
g/Jw0C87PMYF3RZfJHXVnLIsk7cLU+FaxVv/Oai1fS/T3hQNYe96aoYX2spR5opoC9rJ0nfdnG+k
kd7mCtVuOAZE1YUTWxP1yuJNX7s2CFnicWbFsC/7dhxNS68D6IvZi48Ef696D9ZCmbiRR6dq4Kvv
8wpProBMPtTke+Oq4F4oZSzkazNsAlTOePWhbC5+AOc+bDtsU4SJg0ay7jzbBH1Mk05tqdgaR9dr
nEGNDVmpJ9emjit5b6PNuuMKnT953VmfsEKGbHU3S6ap+ozKdZgP1CVRctKNbrLbdlt7hL2qce1z
H2sjXtOl1+RhTpdUH2DTEEZYElhWn6dolf2nqEaWcFvQ0NCmJLatXb7QBqWodAtvCtOjRvF5lUZp
2ueBhqX5tgmazrfrNq37V4RSeZRDtRMUT3ePd4vqvIVgqD3ARadKrozom/bdFqP3P0xjlg5Hx7Hu
lOhoFD/PF/rdYeZDkj5AVNPSG/Bn07iM5UblOYZsavulARl7eFisE5oUQaq1vrazTQnLYSgiMB7d
26QP79Aa8wRdMCib+421vcW6UI/cx3d6wCv5vkOz6j91tJPnbMKILLWD559im3bR5wEDVrTJ20SR
uAgQui7wdKBYyqtlxepuzbKV66CM+MCg6XevwmNt/2jtLJO2pHyOsF9VI43W98zv7abyKEl4mjtX
maGQVdon93YXW/glg9y//24aqNkOokVs4VPo603CcIBO5hEZz7TbDuMKd9cr2UTJ9MjwlmFFJKmZ
BZaneuMAC+sRsuZTm5Lan9Ku7shQZrtBCZD3jDEFG/gJ/QcqvnYuwqovtQhiXJx/1zpjlL+SnerM
a2+jaT1ObeTk2Vq5UNyxXXpTzkm/rZ87SaFFYnUn7Wfnu3k9akWGqJDdEt80s6pYMWMQ7m5D22YK
t4Q3EANaoOyF0euMonRmsJN5XXa45EIgPVe3k0rmK19t4mlOk+BQHdB91w+h7/vcIBs0hyhMLSny
xUQ7HYMXNBQKcarLeU8tGrRaLjy3zk+Rzt3ivH3HY8/rX1ZEm4jD3hFSl8xf9tVcWWRMnCqU2bcN
rLnw1KXxkF5XLfJZb7QK0wcpcBHK1Lks7nPSgPLwavu9jVClBhJdbTue6yvUATG/dtgC2i/ep80V
WoBYfppgcc7rgkpFmie90rqGJXQ8sGbJ8ZDRtBBYVQO6uQjCuZ3XcXMvWk/2wuCFf+liOhz6qmEj
XrVquZ4IEIw74BUpfRTjxrprvxr5FUjMR5QeLmGIVGGggE/IiEmexkRVn+Fn0TalGrAoNq3p7pwj
qMx2GIz4c89FXeg9IHAEsg5yarhJ+7vZpba/M9Vibxatp/YLAqLdWzR31pbbEuE2Zht/7ZbsMtzp
BPb2LfOvDLWEK9U+o1YHr8ltee/5cIRYWbK81V6hNsCockXYndiA12IltMB3XHvvoTJBAqO4ID0Q
fpvXDsVYnlAw0M+A0qW9TWcxR48pB4kPpCA+qvW8MqVcj5uyBGKh6K7a5rCRVLT80ArWvFMzsuEP
MdQr8y/bmnRrEdVArj7DqwFpuIYKmx3GOgkJHs0meW8a9CNXYWxtnrRYQHW+LgYpdipZ6m+CDjZ5
Tf1Sr0UYbIxuh2f9uuXtKvroU9PE1VdxKU1OYoPK/CUw/ea63mUod+Uco5gdsm45SWSCiEIyM7xN
FK9sLhDZUSAWhGSHXmbiV/CvS3dchCAO8LesMrQyCFU/bgn3/KNWkYT+uJEVkMFIDnBGshoWBSWK
ksFfUzZN3/p+S2Osc1ndjq9wapNtkZjap6fWZeE7Wme135g+qd6Gut8lRf53WJPbofbZ/BJVhNG3
GJEZ9DtayxrISKvorZxMh7WD1KFIVDz7RyMrrqHrwGwpU0yRxyZiDGg2Sg9yQz0MRY9yNSwpN7eT
9LCy1a55Pyzbe3gix9kHbeT6Looy+0FUPH4B98PtV1MFEdApmtAYb/2wrQeWCRj67u2qP+Cadzdj
3IHWxloEcMPjJJvOUy3lXFA9Dj7XUdV9hFJ3y2cK8ZbWmWc3ZtPRI2d+u2Nyr8VxqmC9cOhp2K5m
xEpcxbon5wyZzFjzxtS+1lLR8KDVBPXwusLvJ6fzUrn3foHF62cYiKA5s8Fn9UdAwynP2RpwHRLf
tlgWZBqnEyoODv2xIO6l3hiKxBRQglKoMloawR6W71FpQIOnByoUcBOPeHXklHCzN1eJJvoV9utt
95SICSLwDQkMTw1OJE+bNdZLgWU7OJ8bYGPpg+5qnhWpxum8TFPlp2M7V21dJBnX/uuF63qexn4Y
bjbO9x6f0UX2qYsz3z+kinsUbKFJj0LoaDqBQsn9O0DR4wHLxDgeDaWtLZN67WPQ5RAMe5g8wSIC
f4xr3AvAEZWmk0a77UFaXkNwTzaq27UY6RL311G0DvsV7Mf27xFFbFLeIxryRu3ThtenErgcnSeH
TmZLMc/OX6dTjIKzbsaboGv6BPbyDIUA/B2Bc8CoIc149THaQSc/Cihkwgtwpm3FRmRJ/N0JoxKO
DJxuBzxg+0WP5xETiuZzvc92KHCnIHgXXY3KHCtmvw5FPVca/uUwL5J3sEgTvJCe6eW8Tdksrjgy
wBGNWq1MNHlEYXt49DK9vIRRuyqFdMUZHRMWn65sdyv92UGUIfNk2lyP1xjzrrcFe2d11sYRVa5w
1CZgYg5JFr9OGSq0cvXS1AXPVgatj2Ohe20YbGpKAr/55mMPQCPLh3Gp6xey7Vg9VBSx+JrxeKDF
IJM+KSegYWsxjSugrRwiqE2VLcSF5CHTsxHvEAjSrHmAC7Q+LKGiUx6SPUMFI3XsvkUGqQo5hdRD
vkOWzcqv6qA9/8bwpfwHiwKV3VIb97zIet4lj73yBKbJGk1B3dhheAoQ8HfHpLVkCDmF2H4FgFmP
u0Kj7gA54KHeUBQio72aEawtbXVXT6TZz3FGtvFOauC0OdOph1+6rs0boWlT3yd7NYKXVJFuPC1i
jZJH6CY5wztl0t1j/jMGfUR+ozdHMN30UGCqQpevox9shIDE3Ylz1ANO+Uj64XKHGBqfMjZStxCj
ogEb7hfgh10BfYWzSw4vlji5ISyhaC6pi8ZTA57F+tUnQdqyYqxyVx7rtS8N1bo79Gkq5jJBIo3r
8tkMoT6iG+zlTZXBfg3ky/4SD4a0tKls60Zu15UjXBTQiShJSzgxELxQTTVgno1R6KSu2bqlO2oW
p7MTQIIJ0/oZtV0OHDbucghG97ac8Rj0x2xb4vmNN7TrI/QOceZS5N3CxOQX3Q099FwdJmQOm+mA
OjErot7IK5boJGznLhapeIVn9OBuPVr7TeOLN1mboQbZ0umB8qbfPkT4NjLK69il03K8uFmjIV3F
vmb3y6WDvqmiqdtQfIEvC4OpUCn1EIbYolkxS8rwgmcdMCteYNZC0a0SO8jxWxPQXYPbF/hA3oxb
oxnFAKdomCYHbeOKtJrJXFs5LeKBYvFQKBVFu3/vakwjPretn7pjprIx8ri6Oh2RxcxM8y5DuY93
OZE8o0eN0mh+q3VGvchdLOHW7Hm2iOcY+FyD+Bfg/+6rNNnSvepomaLHSWHg8269NKpwLAiiTwq+
zvA1hmxOm/5cD5h74SHJdHo0HI0POyBHcZlvoABU1Bc7ZkgTOt3G8IaXhDInbrzGJOkW1bVgtyiL
Mvt+7NvOXHOV+ukcLQhm/5wSUpGCXWq24zIN0ZL3PPHR7UTgTvUuWuzSYI2DDX0hURmPh7AMwtw3
1kHoMlDC1+e9B6WxEMRiyNOk/QiLGaMi900wq6vn1Fss/iPyDdp1v452xHejZIWvYX/2WqUB9RQi
rouYb245hWmU6ckAZfdXfcd28gpUkdLrpsMksNBkAAHgAD0xMaLEs7kD27ogatFxNkmyFCkb2ijH
O3fHtA0ZZo0U9hhHEoNaPR+bKMa8h40Y8YS8R8SayMO8aVqamtPs5LZF7iedbREZYemW+EUC01PI
SpsWGbe3NDbWvlILV/U3rrJluEVh2/BjT+tFvvceo5myV6JVUCeCkPbYjGPPbirVj917L3BhbkIi
OntNFkTq3K041wSJ5mGnj+3CB3W9tUZ2L2j0mmotyIJqeS7bSQyArTN4tDWkWPAy66iA9wcLusQc
kAt57EAHvFgY809wMCQ2LqSEAeZwGDAKsssZBZjBhXW81eYR+/QI4BlkHIzSULvJ8D7FZYe4StK6
218wPam244o3+Sj3nd+iiWbRTRJVEoUdI3CvSy5jPJFckZYxfdW1fKa3ez9BeR0nYXKffLNImFZ0
C6xDjk7pLdR57BnlmHEmIF2R2Yq1YAA27OdhhWX94wTbBZscL1avMTCNjSLcXZhdrm0hB++7Mgzm
kijnLLunpsrGcwYlrz/No17SUq1Bj7eJhU8NIFKCeesUDF+ODUD8OI9sHEdHzChdU/ZCSbSderYa
FVI6NOmXjSNF/qbaVbs9wZIhc8De68rs39ORpuqr7ibSn0kKqeOZAPWd7+AaYNxzD0tq1DYjzbbb
OIts+CXMtNW3IajIAuDbElHsEuVIDnx5wWylsRZkv9lldwsZrC9cQHDo2eAU2nLZk6QrwI1nmJln
2YVeu4qjBLP5vl+RDPxCfKfsnXF7PF5zxN7tl7vNK2gdpAtIhrc8a78C5ovSsqUi0hZmrehnCjvi
aR8OqKw7bJBYSC9tvjfaP8jIrGkRoig2eFnEbCCX0PRyBaUGXIVKwlD5YPnaR7AbaHjzfbnsj9/5
AvsEaMmpOs+TDHFOsN7171NjEod3T9FhdrkWFqpqQEwIiuI1aUiZJjQCvSZVc3Wf1Nz5I5ZReCGu
/disb67d9HY77XygH8y2sAzNy9wu1yHwffsg+KDXh4uHY3qyw1LlA8xu5hzVqLqA5XpbsedigPko
QpD82tZQGtxjUDJA8I7aeAe0NXdArSiCKzPqvkC4OoscwqLEHzamO6B2Zq6fQJOIURGtCGV+asFs
xL6IjA14N8pVVPKVayLBNB8J5lnr1ViZeXJ5A71flk8CPIK0wOzbLG8AkhTAWwA2xH0BWrE3Uc4c
ytc2p1hlHTDEfoLaI4dJPfrO4wZ5KMKBxi1j9ScorMNi8sUjxGa+GlZHm7bwM/zDUYcSttG4NGkN
Kkf5H9Y42PNGVFxhUpW6goARZPNIuLkqYJScvqT47ehm9bXSZ1lfsF+F9nvTlzUzqx6mxJoD0IJ9
Ack6qqLzf1TLRrZgs/4Eo+5tKwlrpyXfQ00fMLAal5JVEH//NQbTj85CLGTjMI22PxD5sc2e2frX
yPU/GgrRPl0xrsFx0+ZJALRo6F+U0PxoJzTBrVFWDedHbJMEIJJcyZ3Fam3/RMP7O4ZVGBn8lukD
KCxxYKRhMhHh/ZvrqXE3g48meCBaowE4JWuLWAAu5+Rxs4Bu0WC1ESmmaMN9+mMK1YVV9O/YRj8Q
yxRGNFsTGX6ckGbalw1ELXcgD84F6jWMHzGLE+c//qTfI1P9wAU1s8WjBk7xEYYAM3/vwlQtpVao
c0uPnQnupLB/6FGVbmH8kyv8OyTLH92JWvDDsJsk9MgEMjkcbGcOM7DmP/lCv3f0H9hnGol+lteS
gjkyfO1M/OqFrv6ELv57x/6BHooyfR60qugxIPYjr004N0uf/sWD/8Awc3Hsxmlh9AgM+oBBapNX
MZDHP77Nv3fmP9BDq21tHJUNOyoSWezpa5XHNXb/v3b0y6f+Czku6XQKdhCuS7IP8OZ1EimT+/T+
jw/+O08oSX97cGbiweutxeNSc5l8t8CUfEFYSJArJJJB53oBG/sEkRPVfymeL/3RpqgWynN4ttAj
4lDph2w29r6NAa/+8Rf6dXH9N2/3jyZFvA0pYCGVHQchayDQcgwewxX89xZix14zVN74mzGLR3bV
6Pa53ZvnGE8aPVW2WWr0Kqo+IJ3x+7amiG7OHUdJ9j9n95/ftv9Sb9Pj/5yH/cd/48/fJo1mX9Xu
hz/+43ka8P9/X37n//2b3/7GP67epvsvw5v98R/95ndw3H9+bvnFffnNHw6oy114t7yZ8PRml979
enyc4eVf/m9/+Le3X4/yHPTbzz99+T40Y4mmxzTf3E///NH5+88/xaBNosC56AD+818/5Z//5PI1
fv7p+a3/Mqov45ff+c23L9b9/JOI/54mCYOlD8PxEnIh6Pu3y084/3uSUo5qWYLNSAEN/PS3Efmn
NT5f/l3GjEtJM5pAunZxGLHT8uuP6N9FStH5o3cTKRpC9tP/PcPf3Kn/f+f+Ni7D49SMzv78E474
m32D46wo1GWJ4DGGIaBk/aCaaTrw+dMWZY0l7onFbXMaHKxfJkWXo4wG/9aKgCREJuUJfSaG1Vtv
j2vN0hPbhxSwTAv8e2UZAW8i9vSdZd4dY4AvZ2fQ2NZ9t90jmoTdpQJTN/Qk09GJin43sHs57hBD
cBxSu6+2qYgF7TKLCYbFDfvIaFy/Oj3au3kykymXxDUVaINE3PBtF3DJ8BgKbIrK/tRCYZ3Dw9oU
EBhFK1gq/lvV7OYQRgGwzq8fGUgZBTBGTIRxOZoddB2enTDFa44zNE9dMZjMnGEz2b6MA1iBBSax
EN5iHiUxIs5ENBajVMNDt2XZBHJbrMeyjiS9WxCcO16BDkRfRkPWT5IIhNNswAnOoEBUz8Q1W58n
pOtC3sysvg+d8VO+RBtTuavT5sH1/fpqRtp0B0wKyc1GUF1icnsfh3g9NcBFvk3IuvocpSiac4wX
7YPrtqgu/dhjgNDH9LXC2PsWhMjouQZ48zGaxg4EhZSv5wuh992KaJiDSZX6LgLCmguFuhQn3oNm
2uHcl3rM6STMaQLUdktgYV7nuM3jV7ag4bE1yQxGyiTBSQrJMRGsYZlM2vghGWQ1Fh0PoYQtuuoh
vERdqygD/MzENOYhNucMpIxytf564pYckiVBe6J8/bSgbIEViVpj8Gn38XZAMnNVNMvuv6C+aK99
4P4OD9TSVjkDrnzF0HkeVM95WRtZomicyo5gDCX3/0PdeSxJjpzp9lXuC2AMcMAhthAhM1LL2sAy
s6qghUMDTz8nSNq9ZJPDNprN5i66N11dEQHp/onzd/bB0arste2bIWRgkjobWlM+appTBZW7qDsH
y23fVM1KrGk271KPaEPJnv9ArF0/c0bjowA/vGObpv9Q27adUiuJ7xt0tsuac6GScXK+BkZh7XTy
BceiEekBVPSzUnOA/AqmNB/T+6JYCAh4XfvSEhTaJaNrfWbGuJ4Ja0NiN7tmZ9ulb0IWeNP19qNK
s9VHQkFcVdNr701jQsd+qC3mvMvsqVrmA7mJ+1YYAQO8T3a7S5xt9gHuz/5IHtlXYzseZD20LSU9
UTh+S2LsmfvAufSYgo9eIW0wCYQbT2Wqxe+9o7vP1pA3RdhgMLj7q3NIZHhht4ynXa5PQunqQIBE
3uocvt5fcJJ9iPPZsfLMVgMeb1uvIOisW8msl4PRqdLx16qJ8dHm7Lc+le2um6uawMoS91+Ip8n1
piTm49RsxvIB74JtDba4z3Wy3qdWlj5YCgSOk8c6OtzmJvctAWsRrkOSPS6uu7bBvKZVZHr29NFm
eXubMXPrtOq1vGWHicU8m9PG31SqsJxG49ETyjm4G+V5H19hena9RbyMlTMfMG/WL6/Mqmdm0jbd
Qdi59cX1nf1ObeY/+q402GjWq0g/jbi0ykAt7lTDUnGcu9xSyGh6RXDbJFKndkWTs8RP1FD7lYzT
fTsW9V1a5ObzVInkFF+5gkXVmzedpgRfsqrt+zQbDfLntjIiNInE2o/6mNwhAhoPU5fYDGvPhpsh
bcnncglzVmNTvPZNP9yURW9GsbGpg2vaGcmn0r2F3Lmlfok8VPnsa/WzHbfGwWNw1VkaU35juEXB
Ek5K0JKdZhjPmrTnPnLsUou4f51bpxiqBxwP/dESC9i21rDN9NRus/OSlJVuBiPLge95azYiYnof
OHqLsd8RmbRH95SrVXLPX3NdvrdMXXTVdfesuVQfFZmbsgEu08Ps1bd63g0aprDUwtZccuz0wTgs
rlE92PnA5AFu3Aj5P9t3/AvlaaufegafQO7OelJX3t2UZ8mlWCr3u6DWcJmTuNgZotlOCiX4nCDK
Hdj/61/FporLNMkFQhyKe1pJ50ywiXMoEvsGBkwR4smPAc+i+lyvKxJmI8c5cqrqy+jLJioNrTuY
Vm2/aali2zG+5TQn9tz66dEo7IgsPripvJh+Wk32K0eViuxeWwNk7SyYGnoXpalOmWapvRyldayN
7E7QywglGLQHQ6udw7ol9THR4pOedNL2Cc3r0VBq1BnQu1OW8kn3IGJ2WmGSaG3UWSLc6vJ5q5xl
V6Gz7eAKvJdInceyHYwQjfEr14gDnYR1jX603liEc8IsIF+/BomG2JoeGauXXxZSUDu3aIdbZNez
48of49Ie2Na3ft0jUPVLPwaUKYxbtxFoZFfzpUldffPtzksJR3vX/pIz5mdQ0K6LW4zU4C8yLvcZ
CfvUJ1BW7Znfe+qKeMyDWK5qDbdUZ5iE4QI28wG0toepKz+rtaxOdmmPH8Tbeo9Q9Zpd8nVAp0kN
pQe1qalHhaqx39TsktGwsNWcaRnPVZoU1U5UhK9RYU3Ampr5qxqSKYt4xcsistohZTGjJWXQzmOG
Ud/2vAdgIGJurcT1ehAmuf1ds2G+c8im3GUF0zpArrsUR3iJYbpQhTDFpWncO34WcTCM3PzZ7HVC
a7FHCiQw4nl5jeP0JwDR+WOTNumP4UL/ddwVvco/eSCqR2y4zG8GWaE0LdQcahMGiZ4n4oHI5/ah
JUqPEqdcTrnZeVjz5aYCnTo3qPpuvjhuIb96UcQ/Ej74GppeItczbbJpmrPrzLZ7aZypJiyIT9g7
/YkgwHjf5nHyWkhmy1Btkr9p05Tv82S1xAI3YlJuWVfZoRyS7oAvQ2BqarvW5cdPOhaeVd/zDpiZ
8VRMt650t5NgQfaabU5xWoiDnZRwkxBxQT+2lRx4ITnoyFPdABITmXtMO46V9IbtWyipH1xcpNCU
W7zrCWokIWbVvkglonBBpgHrB7EsdOSsgtbsQtHL0NHnOHCXWo2+C4dinLtfpjWznmu4FIvFjoRO
rpUHcVgNM9EjWwttsT7QhjdPTTNbx4JR7IesiptP+IVt0JNSC2QP1ydya33XDlnDG0YMft657oO9
acZNEquZehimYj3TEM1Iju3asm7DKe4CmZniNpnGsxDrb8Poqe5MvKaWQLKu/jmWfWRtkpC5YKl1
6xWNtauTWZ0HFJK9tjF2pZ95q3idMT0TyBpeVmssg4UpN7vZWG7RSzrf8YjB6Kmdh/FE3r6fEzMq
Ys32V4uaI/T8JQ0YBv3B/zTdZJWzfXXutkRxruc7pkTWNzp66BvH28WLs8e6QBXG3mjTgkoAW/gD
9an05MSO89BOvMvjsdXPWNbFnZBOebvGW/xAK8S9qfS6uJlSjdRZ2hbynjuUWSQtjuoN+5DqoU6E
/LVhpgfWENd35iKMWzkK+zR2pfzlpbF3sUfP9bM5JXzfKXWWuk3iJEcm+9CMarjw2CyPaivmkMjW
dzJO3sGp8zJMrHy8JQzlfqCkD1EN3JPiAS961kWMoLi0q6pY+WdmdmyqhGh3KtuVp8eQkfVearTk
hjQM00+PmnTWxzgnDhrC7zs1mROHNQmdk7kU6ysTZOu7pUrfG4aO3utxW3zMuqsOptNm4VqYjGNi
Db4mudo5mW1EVYcRzhzh5rZzct50bZxELeumqNZ5OI+0HMjvF/INbn3DYXaBb4488Fg/Nu8p1uUP
ry6Lk0Eg0pddb924mLNEC5Krc9OzyX5IqCEF1WjDRGkJw19H19Dj4b0Xu4JPBmC06x3e42QuknPj
qBebNtObq8WsMitbD0cWRMTqSDUV+8ob2qNRlZ/LxKxG3qiL7pssefEUR8wFyiW6jv3ENmvw3Xb+
ptw3PhdYB6e8m4mM5tN0BNpinJxlLCOmBOvhUtFVnUnwesRY/VaV+dEpf1Ij8H4mbmsec/R0lyUs
4zLnsvtetXQ9lwSpet/KShx90nL7uCKa4Tbs+upt5vBZs3WHBL7ut7To7uexBr5jN+2XzgVzOxbG
dMwFoZSMNLvP1oflhPI0fLB1uJAWTYHCZ+tTHGc964W8/CwMb+OntGVU1Vv6zWZMHCf63mEea5Y/
eQMxJG2bH4tpY1Koqk3jo8aF/VE53rhTmd4e5LIybSfzytYLtqVi0zO4xn3nkpiJp56sfNFUAdOT
ip1Lheqa7WjsjZ3clAVtz/mSjle8r/Uyc2XN9r7RauSYeLyYGp0sxSulkcK3R4IHU+b+9ljwT4N3
s9Qef39LKmeqt9DLYK1iP5wKu9Ojyql+qXk5EHF7ZgYsf40xZfiSpuYXZb0eetdJdqvVqeNkNsOx
4Fd+KL2ZPrfJ6CLPie1XTQrvhhpN/K2xZiI9C3cnmPCH9pweK/KqyblAP2lv7MGqPsAHjKyNpDyS
B1T70dSI7HvroqEtikw/eJukf1cb2nKjAL2QV8gqby/MVPrp3ICtXBdCejFuyrfurbRDqdIxn7WM
nR+erdmOr+kufjlLpKj1Vo8pQVv5rtAZ9+s1TE1YZfm0acXw7ihq474kgsezrN4eSKpMp0Juy4PW
90Sn5UzuzqNdFsWFsx03lIpHr/K6Tyhz2Z70UPtOfCvjEd+bx6vrFtnF3F3cQeijr4bWjsbB0EMR
q+ZhICqjsWKZCIxsyfSs1faMwAYC6UK3y47mcTUbv8D8/Sh7hlo6vfidFbV3stI0TvyVuNO9SyWD
kV9m9sqDYwg6nKY0xOEZL4uziVMXC0GXbK3eR1mwct2cEgLPaJNZLpvbuJvkbdlRNPDJDa9hk5I9
YeSZ6O8LZ2jvWFwTNYGAvh66XPCoUbxEH5NGdXgkqSyPrV3RdjC27ilvWcOioxbVoRKeFXrsYm4I
15EULOv+xdY1WNum4wRrXySvVu7SSu1AfcHrnfLjXNvCl/28nSqWZyeltvl9YsDNs8cq9GEUM2+T
LTdficNlJ28y8q/EGXkXxfN2KzdJnLxo9eSms3LjUveUK1LESF/mpTzqJBlIDzK1rAma3Jafk6Uh
h3uFqX9W9rVyxHlc3qxictBaco/2jjNY4MUwfcczqQMjMhuX3a6KtW23OkV74T3efqT0kl4nXGw4
ZBYbAxdNc2Vu3J3pWu6L7RTOye3k4hvjJMNZE9UtpCyWWPnA6E3fybPp3XAGO5R6nt7F1kJYvDeu
IVHA/x+bEZP173XdH1q3PAP7ZdWZ5U7jayN6u0Mu7lpxSji17mc7o4CkuQYTfMl2+soenN9hBELZ
/iTI4McuT9di1oo+qK/ag1FxlozBwxek/ftilro6NQW876jeBvtLs9hfLMQUk9ArbDtj5pKqCK4Z
LXGPjHoyv5rlrWYvT1mcl5fMknxZgXkrF8v8G0n9f1vZvWTfNIKb38P/B9KuaRtXdf1/lnXfEGf/
j/8LZbf8e2H3b//fX0VdT/8v1i6uboHiNICeXmlAfxV1XeRZwSocp9KATYe9+n9FXXHVe3VH93RH
esJxrgybv4m6wvgvaekGKiwhLgrMIJ3+A1H3H61AJF2EXE/YnimFASr0j5BPx2JnUbq2yyTYsdgp
Pff8KbGzEIWRVFO9/ol99hcf9f+ZE3/5PHAnJEEdjgiS9R+MwVwsMVR1z9kbRZ8wZK7If1H+JRVl
1G20MC0irOIN6XLkT/XY05Pr+Xkqx9eti8tg5jZ5KabYncK/O21/07r/Xts2rtbnH7+XQDy3dCmE
Ry2c//53XhMLa6Jp0CTwYcsfQ833MKjSMCNbHsRgnTxva/ZNaXa7mNRamK4Xibr8H7Fn/3psTEMK
XRcgBIX8w3corjnuJR/dfZstah/Tsjq5RtY8//uf+i/OuGUJdmQOIxU8hLB//KUEvKc83XJ3bzby
IIv5zbWc7DBnJWueuZ//5MBynf7xuEpT59dYjhQWF9I/ftq1h6ovlNgYGuvYu8VF387HVvzJp/yT
MeG5HncEToetcw2LP1xVIi4Ih8vY2csUgUIVK+uqcnycquz7Pz54nmHZhuPxe1z7j0O3pbZxRK+X
b0wL1a+0/PecsRMvzPrezIs/8Qn/xZnC2TFxcODZ6eRH/vHYAW1o0J4sZ98ARwtKerp+Sp0grDYA
ektu/4lx/hfI0R/uAU9gZpkWTwSeU384VxkZuq1zEmevNAsGx9R4N7MT648lww7YTaWMHcXp2KX0
zw9bQ/fF0Kv4i6YyJL96UWRsXKbW19UUgiknm6VL1Qa26ZahpEFzPwjKiaGb1p46jnmdBWZVMUCx
a7d08psZdZyppkY4ypySKOmzh66quod/f/7+1X3u0SkXntB5Fv/T9TgTw5hpkTn7hAbGkWi8e1wn
qaMXyReq/Ds0kf5Yd8lvBws0skQhntHH3D851P/qeiUkCs/AcIgY/xHj2OUEZJDCvH1ZjtaRtP1t
rdsEh9nbB//+B//zJ3lXBrQpCNtKjvUfzmnapv3s5VSbnBgI6DIixWG1/cCoEdG//ySuzH++YD1d
6IYuICSazl//+989RFVlmJojemdvwYGIiknLrsvR5R4lZnm0NS4EoYbnBG02ykcicuHg6gpgQt1i
VEBKOHg91cvVYcPl96O0n5Dk5KeclHuYEX+Zy6jG9cnrB+tmGKbmXKTIwHWXoha2xpgvu9KlV6KI
LCNBO+ORHQbMl9Syd15Xr3tN9SrsOiUiU9K65w/qpeHLpJHxfh6EYm6wEV9GGvJ3tTRAr/Vpb0fJ
tIhwctzsLtar/HNVeXVkAMIc6SVh0tWTms8QH+dYqMF5z8zNupsFP3zrrT6g1lIicnX0UNn4X4x8
ZaU2mNSq2uqYAk0M+orRrc0yts+W6Np3MdbtJ2NFGFCVqhp1ZSXwxUhphPh6Wnc1KsEh04f8SdNb
defqlUtXlNYFEsaydYxwM9U7kbn40hFzpFVCuWOqlPuNlL80fqybH4WWv9WEncCCaI19pmt3h4Ro
3jpVGjITFD1bqw71ZJgtT4BEPCL3AHgxU9s965bZ3200lPxkUPa+V11BSW9omQzg0SwsVRaSzxjL
09TAPPB5Sq033ohE6kP7rEZc2Xh0AvJ5cLnVPP1iycQxmc36JiXJDz92NG4VlAUOmSlGEojUdIy+
nl6l5QLarhAqbLjMuvfKsm0dcG694cUtK+s4jvpEkk5pQWdL60ZNdhU1So97P0N9iAO18erH9DXQ
hig3NWNYTG52EInX7WqX8y36icM3ab38jNkHhgnnlofQZGRoxFJ+EIdYz+RErA8zJbDnu3qR3k2I
stJn9hef4446GBUeHgtPTmvtbL+oZu917uVQvlJKxaXV9fybFCm/wYklVzz51/6ptFgIhZSg2ihl
iUPFpQtKw3J+bwSnc1T5rIYcMphxvndFmxOBL8b1RhSVOm32YDdhBuaAWyjRfWhR9l5sLHAweET1
ZZuSSX4ws7XQuyoAnVc57BFpg03IkhcUTTK9lCI9iCza1gUgK4D11zEUmyU5SLOZEOxrg++bzh37
29Qd7CyohJ16vqZl242gDzFOBtPOPNmdk6Gunsx6HoIiW3fACdJnoXsLw0jbYdfz3Q6k3ehmqME7
uFKvOL9LRaF44fq4AqwAYpQjqIUmMV4n03XO5qp+NUy+jrIR1nqXKvXDiz3bYIFqqiPR1s5nOLYI
CjFBjTA2Oe81l4AZoHeOPjLCxR2hAqQElI9pzcy33JIJhdqs+mTgVn6b18aMQdbFPym+ydiHzIL9
nettWHKKGQZt6oc8Y/zFvE5ItExhYzpi2n1PshoehNevB49EOLvB0Y0UO+gddTlMT+HtlokFIv0Z
ksdUtKLFYcfdjcT7pvYEKtU994RKB8rbMxuFPnFxhOOXZJ2ss+qM5E5DSTh3JEA/M9c2X8Qmh6hM
ElP6XdyNrMq7+CCo4h7SaqB5KDNuBVdLiNDjcNsti2OMx/SctNO763b9yW30IuCtt/rzOI4HxobU
l6GULq12Rg+GDaovNmuXl2wgyzywxrxBz2PhjR5/i56RRlPubE84pf2l3Yrsa8l44uraNWofG9le
qWK5B8s+o8dhHFPApSpYbN6LrawtIpGuhTVZ30vi5e8jlcx901dL4NVxT7rgPi6rR11H7YXJah/n
0Sz8uKBpvk3THviGtmtMe/5Vz1RMEQ+KauNe04z3xVPmxSr7C9i5PnTbPAkW5slSQluNm3IwrYQk
QFruOopEoSybedeAUvJ7ttM+qasWckE3PcY9Ptqus3Cv6Q9ByKi134vd+9XsyGcWSdt+VKnCU+BW
tg19bxi2jOa5gexQDw9t1t2Yeb36jqG1wcYTfB/H9Sfj7QBb8cvNDrUwAfSlLOIn+C5hmjFeYhGA
D8xxNqHxjPFjzZSziNjLesYqvwCTqkPP1QC5m/aym+dR/Yg9mmvOajSBvW73tlRQMFFiZh+Glv1e
07dGfUvWHXJDca1pAEAKruUVllXQMF5Yly0Pos7MQ2mb8b7L5jJACopvswrxzFCa95Tyez8wlqYu
LKjBcjTsyl54nKscZeSK3Qsd1cR6RL+roCDZcERImG3OfSnBOfO22rq3Ke36Lzr+qA/K8brxmOTr
AgS3rupg6Lffq8hqBi8iCs7O+FlRKjjy12HtuEu/yy1iDwbQOay68pFnf0gg3bjlJlRXZkMcCNMr
PshMqRPV4gS5Ztt8Y53BWpRJussyMjOGDeEAFe/cbfFy55TW64QmGSaehnYyAxLnJX9vawiQ/RbD
7ylQnxw/tmeu3OJaw3Es9SRs/Qkmljo05G99DCr9gBKUn67h6UOlxvE4Una8MupqtSd4pO8nJcQ+
aUoseYTPKO56UDKtKG+gt4j7sS2zsNbT+qNxAVEqS+J9r/m57nhaLHSQfvNCyqK8nsvDRqHpBaHQ
AOC0yPlXV26SBLpeV2He9Zu/gSxizSjXnaa5zcEtm+pI9+B3I0RzWubYeAL+pXbUNO+zbipOVE9k
0HjmMvrUJKZXOtPJb7kVXQRTZL1T7qofqUXFO632usdNlkS7qvhn56nx1qi1ZFdmGCK2m2cFj8ex
OCyTvuypIa3BGKs8Gir9QdEcCnozpeDhTstui6WF12Il9SmXXAnuIvSdYVKSWES+7ZolK87Wiobu
D9WYzcFSYOpTMG++SRWU57gWxbCrB46IZ+eMiavBI0GbwHdM7XNhje9rtzSXpVlul7Lpf+JejjdU
tFqGAJRLwN7wlsGSfeTFff9pAhfaV7qajpVc90WjvdbxSpdm3NokUgxNOMFsyKO0xbtJRrt6wXkd
bj2QgHudl+BhaZNTTTnlxQI+A4vJFSGYre6nqueNN/c1Iymyhsr7mADuFzybi8ZmeClDNR+uZdYA
IpuNOyk0SId62YQIGdP9knZv8C0Gv9HGm1RMJT76HGGeTyFuZxuVYBy6ZqECOjXbHsV+CkpBZW1r
nYvYjIrPzLIHFvay85M8BscYgxKqTRiR1ULzOteyXevUFOT179rODuNsDEeEcvzDtBcHs3FA9BkY
aq650InK5LYvNUr+nrPrG+kAqkawxszT3JPXLHkomNhwMMtnkEVVqPBdQrZQYa0YOc5Svoho3SSR
nebxPp28bG/y+aCY5PcA1/zdqWDptZj6+rza0ZZvh6FVL1AViARM62nQxlc3FzCyJ6yNqfvwBo13
dKp9u1nzKsziUmf2E4a95WeVcVcuzq+k+NXN7rRnitEIESEBhTEC1FDtqZXOTSaNiya2MYBB2N+U
nQZExzNuLObN7OPZdL8bKkG7BLYZb6mgdttpDxivetvMn0hx5c4VCjTVnFdBqdoS8sGqcQL77Hlk
iA9Psfql29xXW+X8oz6LNv4BjuMmNcoPi5bbua8sIkxll+/qKn1JhXeQVfU8u/lHLdSxHYgJyb6+
Ne2C7y6YZGK30xyNxHZ9klazL7SRidUS/YLwyLGuZ7Wb7fIx5646lnn6hexwtOk+aq6S4DsMf1DT
FKo8jQ+2IRi7QY/8bm2d/hdJQQ/RTB4xiKuTl0mgh6jw+2qOvwpczIBYq/U8KCvlaRxTE6aWbn+n
m9Huqp4AWlzJXefp5WktSj0QcHquSylbRZaJs5WW7hhSA8pD1yD06NX1RVjdQiVpYa3Sxh6b+9na
awlbhH7OCnb1GmsYfjDsKUZNC4o+LhmCcGs43+xbG3/WnCfXTu4sc84CW3Q/KHLv+oF1fm2z+qwK
Mfoy5plPVD4gr/WYbuaFDtIbbK3byqapUy+cd2Iwup87ZXdM063lpV+/6PAdAwpRvljy9j03piY0
KMuRMPlyNOvNLvUh2IiNAinrOWkd/pMwR0ztqXpdEEMBysjy0M2JcbBwJ6KWBAoWZ59/ZtNIcMhK
QdkgiJwcWov+CmiF9iyRg8TpfjAhddpbts0v1fPZr/LpjtwYkJDKbKLNLMffzpqad1mzsLqzzXK3
6nqz07xlwGXWLzV7ll3O/uc01zGLo2snWXT33cAGQ7auek+xkMjBxOMeieVJjUmzi1vQBFNy67I8
vKMpNUJ929AyvJjqnCcgG+QL++bM6NTtJvQat3wpdrrN5tituzcTOHs0YuPvRIbDmMSDFwCcWp4F
tpfv1ORf527Wd0njNN8LP+rkdE4Z2gunVBhjexCpNu553+q3rUr1Y9IU9alSh3rd8sgm/3HRV4C3
SQ+SqcCDeQVqYb+6i/wVL4YIhainfVqa+ls5lcOhNnLtqW2n7osMSnI/0Lm6YKeRDiTBuie+M+2X
itjDTNebiEFfRcynrEMnJQGvK1qq/sxqnqyE0TsvelME2pgMJn3RjMuwR+MjvdNXuj+m7XjsKZ+C
Xio/VsVSMUHx+mZMaR1lyiC11bEUGtgi771cmmjVOWulXB8P4F0lNCbbPrUdZK0Rf44Nkx2V3L47
6prjMbZyM5pzSaG7Spb7TJc5q8WiPTmM2Arr3n5IEaIoUXPGNzjhBzFJg9K/IwrYl+OeNld2sZau
O8KGjmpvXnYeNzp7qYpBQjhUUZ51rCulWV28a6k1r0u4L4UxhxMQ2GO7Td1+XIS9r8pBnvmcNRpJ
Mu03RvIc4mJ2T7HrxWgujQrNjNU8G7CnuRfmj6LOjcBehp+LZ87vRpH8qGE6XNSSxm9ltv1kO949
erMCcpZ0cLIy6sQ7o+ims6b3L0LINz62P9WddwSoakV9ynK4t9Y16GIkN7GQ2uNEdZTwdQ1tqO6I
LlajjhZUaQaqY2bDC6u5fJjXsJNpE+Ol5cJ6GxOcey7B9m3KeU3HxTVgUI9Qf1MyhsGa2/UDWgVw
YW32AjJp7WdepCZUi0y/F0qZUcrEqtWnwtfdF8L7UmRYYFOO9hXdB//VAuI3xxsIO88xEZhGB+5Z
3d3UDZMYbW8pjmRwkERVbEdKa6q9psHdBGgOtMkxstOarhsbs64B8Gs0MyHD7cfcW/oh2ZL1PW06
KDV53qFw2F/OAlsrld4a0MBPIrrF7V1pxk1AGTC7gaeTB8S58iOX3wPlgdaAGpKoA6P20ptkoo69
NU12FtOUldT3UVTPJckMx7dGc3pYyWX9nPJZCbrZxbqfZgfGsGlvzrtB2Y0U3OwsMurGNPvdcJE5
NM9Wyq5pMqwkCT284FLXujhytWUAXFt0xMSuE4G1dWantw3bsy6Ip7bUPV+6tbBCXJOnnDGzh87r
iu8qxoWEMrmELhPCIr22Gc7dt/IlLupzMZAeq4zuVNKpZ1wO7w7u1XIDNFQBnHJcYCeWs0FNSGuV
Ukkpm1c+qHupyrp5h2iHS9pUt0Duil1etxSaU8/Y0S4gfpW7Q/3RNq15Ilcnog248hpSE48Phoyn
l5le51MRT+o5K0zropMZiWbNIqEC59BftRyVvS/b8mC0HpmGwclG8jrxBqV1NXgmVjrvX7LjZKvp
Ak8BaBON8TONsnwr1a7Y4THeKXrk1HnVdfwfgYXRdyio0rRWfbkjm9N+AkQW8npOwCny/Lmle0+r
BUpX5cdsJvcjh9q94f2dFrtMdI+x7Hl6FY/wdaq9N6Xky9AvSXLqCQn48d5KDBmi5EwBNWPb3ybt
FsGdgAxBoH6KefDiI+w0OdOLLegdQqANr0HpYLStwNOoN2tLcQ37kX+9SPJN4IP7V0dleRqmhamx
QWjtT/iD4kB1VgTgRoZoJlCEVzaMj2wpY+7/Kt9XKaNcF9XyrYb0fV55+wkJglQzCv0aOPy59Uys
rZdp85ttfh3X9KDmYd6j1BqQm2P9vhdQOZg6rhN01woGYdDCqIe6DNa0UCfTzR7tgRlRzTSdYurL
WsDVQsYVVThC1RkvTp+LrwUeSxxWeVWBR4SKvh9oXkik0HY4W0437h1HEnlIOt39aecTiNhVtG/I
H+1D7fbDYzK7w7vrwTvmyLMvRrrbGVPn3LGWm0ntMJECUulfCCq/hpSspLcZy53cki2mPV3GX2iw
rPDRy9tzbSak6gCxZLo/9Q5tU2LgGsjrRLU5uBhvGH4Xlm4skW7Em05OdMF2rGSd8sw0W++Fd+lI
kAZ6IHTVdWQbXDS02Y+Dt7YNi24dS9UFfL01TnUZZJG/FPYUR3Ty1E0PKTKM9avjEmfaj5UewFJm
TOtLYfb249w/yrm19lVr6Hf/zd6Z7UZupN32Vc4LsMAgg0Hy8uQ8SUrNww2hkkqc55lPfxar3N1V
so8LvvmBH+gbw4YhpZLJZETsb++1kUVsfnWNe8SvUfQs2x4Q0dnLutjcIa/BAOIxHRg6RG8Pt2qV
rawCVqeXJICJIVmRDl9zAvKWeEY/2qm6z5rBvcf6NBNc/RHHFnhjmFtiekqz4XGqcTPLJjY2QReu
tJpIilM0gMfHMDz4OZoQA529n4TaAwyKEBcU2iWye7wMgyk8FN6wStNAbpqcU1fpW9HO0V0Os3hI
EF7oJdizg8XZHVapmjY6FP9gkROixyeUYzpfVg58XVn3hCocLWinBVMV7TKvzTHf6FqKjoOiEdya
tmkd2fRBNY9Uvm7CoLglc0c9PQ4R2AZFWjOlRvBQHmZjoznDaZDwVG1T3el+Ue6q2OcQWXFayVeE
y6uDRgyM/IM+DpvYqatF6SNr6r2tnnhf0wYjNLyHsrXyB3PqGnM+sSRnT/chIOHvN99Hg4w3tmVq
OgsXHsASZbG4J4bFwzLGFh8BuPDMD6liuL6942jbiBkCyxt6yaM1xPZTMwb2iYlUfpFgEbhh8Gnv
lWGa97rl+8VKWdCV2FVLPFVNUrvP3ejkbGS0NNvrrHA697YeIqcpRLvWwla9iLqcpg1NSPFNZtK8
x+mpEzuKio/YzrAwNW6dXmWlToiggjszLUpXxu+lZul7bwBpqjMZuQ3JSfirONBq1p1cvRDBsq+s
Ikq+JvbkoZgCgmmHXD7h6e44Hbd++hpZ7nQoUsl/Z72LDJFoHJiWQ1phBSty69bNsb4u81SK17rw
jV1PIiBdwGBU51iH3rx0yto/w0JB2w20zczvfNBrt/nIMyN/YIjkPaZ+mj9rfPfXWs2Vj7ic8V6x
k9yNWTg9eiMIYOyvs+0L++SzUWnqFRVYviREopddMWEhMEN4RTVbeJxTNn1oUhwKTUqWlDzC0jcO
H0Rb+qWGbgOSQMpFXTsS6hCexAfNSoO9OejjRdX37nMkYEvodo1/eHRCfN1thJlIa4pNkVfe64TI
whcgT8pnJ2u8w8Rem031hFk+ZgNIaCKtg43fWXcsXtm3DnzVWZFN2zJs0OBtWJW/ZpsXUYmjvYTI
PTkUEB7I/Ju36oSfbDs/ji7xcZBs4bEPDzcvQBbbDqiiwUfvskIqLahcSIvbsQZ2jU0OTgdHKkRI
adRgWZs+2ct+dPaDFzQHgPbFO553BoM5UKASWpCdYPhywuQO5JWur5o4zS94YDgAUoiwn8HVV/mW
YzJRxM4oOUXnlFSm6wxjKftsZRtvAt/qNYJ1fwbSUN4CNs6/WWWbXGQYmQ9T66kPV1rOhUc66uRL
W9OWhujMD6tt8m+xEfdyoXV5+5xhPXmKqqq2iW7YlVo5YUklJGA26S3AaygocspdBQxI72qrxCPu
AOsMF9Kr9RutauSDb6fpe+ZXD8JFFc1qdiTwTaZoYSe+GFDcy/g8tf34mtaEeJcV2mnLfgonu430
Pu3qBlnPcrs6pdBh4CK3RccGQ1PFpB+ioJQp/eACaFY1eOElsX4rX1lMXXlG+JmzMYnrHgEeVfYq
Rq/Y9IDKOFtnHUA9w2GxwczLILpwNP2iKyUmc24J41JvbQQ7uyFvYCnbf22rwotXflU/SRix0SrF
aLbv0iq/CfigAKaDOLwHPFqNa1jP9jtbI9ktyD+Mb5GPdXGZJIUd7WaoLhsp2C70K/R9VG89wZq5
aKp6UEvbzdRLm7sqWBRs+Y++Z/a4mueVzVX91p/mzJmWCffg2+PXqiIkwOS4HxYcrfmesEfiHTBM
ENBocZ7qs449MMexn316Kt4rv/eQLBsLU/GIVUSIEzBAwuuVIyu1NaWiLJ5Q9WCAmagYeJj8jzvR
dF27KEZC1GvYRkThAEvlzVoGIdJZLaI3D8bG3pahZSwTv9EFQQU9XKeJV75Vo01AbZDEVjtGN+MR
1nQyxzjU01QydWCIweEtrbw03tGObr5HSaMfx0pmHHCnUWzHLs22ZtypJeytcaMShkDcktm+91sG
ZTbDtLOCZU0rhWxZTWqvfpsgI7DFM7TqMbKDdNVDbiOqU3yYnXCPlibdQ4Tb6txPJlZe3nZ9GKu6
uhjHVlsxq+WMP0LDwhiKp7ETW842ebDi1Fx8AHs1g4WbROE5cKyrhLnv1vBLKg3S1AyXBjGQXZSK
oKMIFmhZVstXK9fHG40o3ZumkHZg7J5GQ+TvrWVG96YdJPpu6nMX8VeWTy6r+Unzc3GZFLl242vG
74wYs/3hV8uLq0tcUCzchiS0MtsnfnIsAKW1SS2A3uNMz/CUEzPUxjy4SmgDZt1mq3oF8Di617uO
pfTvDRPfGy//9OKOYgpq2AbGm0/+nsnQiBS7A9hZ5TdXriqqXVfVTBF0xvZmP+hLjzPZTL2Ouvd+
Ykmp2pbSny4WEJ7qt7gAs+4QflmCToZ4nzFgAvJlbnq28cybDXEmYmIiy6SKsBcr6kSKWeaHXkbT
BXm5y9ogy9MDgt6YOLWSJV2ucL97dsCs9eQN8jY2tvSAQv3CHQQihmdZW7WQfnvrbmg5HFg0AZ/L
UL1FGXUAmt01u1LjgR/leOch9M1WqcExf3PpjJnO8OnSuWi2BNtMA3XQ/mRiS7mVuHyS3ToeSs4N
+lnKYcyXbTQSo8Oy1I94M0yXubsY51Bt3Y4bN1mzC5g9Br2x8kLfpWEv6OiXaVO1ho3f7fUcklk+
aOSqW867ScwG2IyiHZUQv2vg+oRpmN1+BOwZaEmCovgZnNk599OtF7KWFJ1buVu9KiKOOG43UZg3
DcFx0pobMXRq1bE4L4l2BAeh6+03Jl7tvtJntx6CmyXI7xh1ryN74Nv4zb35F9fXksrhviTvbH02
CfpoeEoonPt4xnmGDkDSTrqXVb95me+lYJ8/R1fieOQrwKNdfPocCwbG9AgX7pbx50jLkwGwvO+r
djUMifpqcIDnGRmTsBdetgJzrW5CNqGAofoyPuLZca+S0YmxzfBlKawsvWrMVsdD7U3aWob6XdHE
9cPfX5rvkKGf/2ae17qwLDqxsPWi/XyyaVKlMCFIcO91tcFDYTIyi7Ar4mDkxaQjOYY8uPEV1Mn8
GVKzoFrF0JdBlwSHUY5qhZlhfLcid/jRR/k/5r/+hcbxv4i/YeCG+ekTnAEfv6A3/i+DvvRnd/aP
H/jDnK2+zOZUDiAsbEA0FEgLPBczi8P9YuPLlraSUpfG9//zB3EDc7arbEu4tuKHMUxy19Y/iBuG
/CKwD7sOFlHLQucT/8ic/Z0K9Z97zZEcM11eSbgzU5LX+rQ+5QFJH45A5s4LJja2iByBWLfCM6Ot
nrdsPZ18Ss4ObYQBYRfTwfPvjw0z7SYCEBc0dkfBAQjHikFLI/A66ROR9NRq892gtQRh8lFq1LVU
3doQQs6gGLNnU2WHB2nR6rWAS8A+3e3Cvcpgz1tZfZZhZlxT16jY9o9UEDAXOA0Gqf/a94aL1pC3
jizqJVdw3OqFqFZ5bjQXUc32iC17JHHE4FQ8sBFe2kXbrqaK8i31PXfd4NWaKiff2GM8oTS2s1WP
hG1euheer4lLHFr+lgor5iphCG2RHC55ZrWcOKVtcst8L1DTsInXb1kak3gpQlzstTUt2sEb91GR
N9eT6/aHONTJ45aK0eookKdF82oPmrPDkl9tMCiDqXJ5TSdU3zzKai6bcnif2tbawFBLFjLSLhWa
Wh5NX112vppvrprUexxK89iUyUna0aoZ2wPnzDntnJFUKbU3mTv9xhvMdza/21rmHM3BTrcJy5bR
m3e+O9tgQ4YvVjwrVj6yDCeIRwo5hnVj208q0k9RJWAn2iuM2hRItEO5dn2CYzhiuqOYKw4YXx5S
4BXbMZTbQWN4BRznHFcFkxCqbhiP+OTfEXq+jpStrNJK6deTqYyrsZ03rGwbXwCOA9elq8p/MzyE
jCAa+A0kvbYYpuRbVbUaxpzSuUpTH5fWoMaPiiH1oqVApERVGaZjXEC0r4L4ShdF+CGBmNATSPhH
+Ez70hqIOcfC5r2IWwYyjnYjSvcQt026FL6g8XDSKvMKwcbbcVY8U7nlrno13ThBfh3bOlPF3j5P
adjvrS4JQbfig1vosWec3Y4BRmiNb4mFG9TRkpfUbLuLeo57GsnEtpvzzY1t0yJgF2XEMu8wMFCc
i6KiX2czFZeB4XhsYvtKaNK6aYiQipNtU4gAgy8TJU4mLaRCR8Zpu2nSpA2B3va+tuaApEqkD97s
KkEKqxco4C4KYQusnOivl+ocuekLWWocZm7IFHPQicy07lbQYhkkJGrSAYB2ZDAWhQ5ncF3bzuiv
pilgBmKL3LNXHp0pFDJHAspKq2UBXYY+Ls2TJsO02bVAlptlYMQ1zNQYhPejFkdUY/F9dhpSrqlD
MNXWc2dpdE7WXUK+bcadk8XVeESjT/oNUzgcsQxhKuc2NUor38dWouXAfsPJ5XUjAGh6DXp46YNm
IXeMQj3TRkGmrOm8IP3odxjTtoGpAPvnVtmrNYG6MNh4qebU77nRBSnneoeyMsrn8mCRla71wvhg
fMx6vjFuE3nnyq+ckVSmgLgPYDrIdwgoTOaMDtFpqaJhxqPniU8GPE64WPDF8arKNTqTf89Ijm8I
aG5sEgAv4ghXYh35zbeeJJ+EedeTIY+jUMRnlUdptJlamTnrtOlq/zKIMz59CQp8O9t+mzXJArbF
unImczUyWkbWbgNb7BUsieStZOIVblybgj1Ctg42UNmJ6TVzqSQpQeXcuNmEZYp2JMwzBXZnkXa8
0SLAmzx6Q2UtSkj+ULcPSjOMl1iFFCy4snntQbZRxhQM5UULeiDDezlF+3RQ06szZ7iCmi24qu+i
xr6jk+vJySLMWlk5PjsWlgFqOpNrM6JNvg194GxZ1twi6+Wg5WvnmXqLKliYjZxehD6996r1VpXe
Zg8A42cREfk16jiFUt+i+L24LDnFWhRxDn2Xnhp8RebW1TyuaDdSHKJ8fJ2LxNHKq7EitqkRuGu3
fl80wMJtAEZrA0xuf+Sp/dAxiQexGJTNbUSRkHmDabjzNnB6nNXQ1uqI5E9JyVg1+nBjYT6adoks
4XbqSRzcJrYI3jUFcAbgKlvjlVPJ8K5i9tO9+PnUVMhbhClnCRnTaunDpUXl3MX98HXAnuIsFPcy
KHZfudQJFNNGeHU04xa6M8pGeCW1zF925jBcOGZ7PYJT3nuE7a8duLgbWjeye23S7ZPmJsPzXPJ1
XWj0WUCHct27eqLcZaRIJTl3bp5/zajM22GC7Pdel9rAi1onfVUUE15rNYYJ22jcq6FJSUA2InK+
+gb0kCSMsTnPdCe1qMyWuimvMZ0PB9bDqRjb/sMLup4Rq5vbaGFaCXHX1qjwMkwVBGubY2LygWO0
8peRFuiXccd2Oc+FeoQzGW0ZfBr2xmULmpxEVg48FaienI1fdznzB39ZU8/3zbCd/KOztf6JeWFb
rPCHuGjASDsLETV4B+j5Kq/AVpoXPtUs6UVCbe6dFpllesqKwYl3saBybO2HWhetSWE7Tzh6mTdG
tTtso8LLjQNhTvmea1V3jSrt3OmUBZyysAnFsWo8+54WcetlaudOlPG77JSO/pPqNP3aGAjIL5Ix
GS4of+1WjmGrnde75lr4ljgGvtHsOzIb3Xf/2YqgK1F2G9Q3gewK0X05UWBm0F8x1fc0pGiXnGjw
kw5+XbYLhSpUXaRaOGNR/TQjN9+VNBDiN8+WrT6NlPQmTX4AbNvidTPN2rquoi55SmtIS5scg263
TrvOMwkNu3Z0cHH4TXvy0o23B0cLKwbDO+sfIyNm051laOOVpbzAuNaoVYADlkdNx1AQXgrTHpSi
VRHw1ld9n/i0TGlxzxneETHSV+Va/inMkFCWXdZ318LgOHuQxWTpJzohJqDA4GMdptH5DR6umSQQ
aWN745WhVTxg7UETpwQvSnDBkFDU11nMV55CRXfZC9VdxLYgCdeU7p03pOoaRnXvL1MCK1gBSor6
5GTuXMsZkJVCY8d6ll4REU93jl07247UM5HwLk+A39TTqfYkQ6esNrVjiNcCggfWKubhdVdR0oR7
YsHJne2DqV9ScRGuwsrDEExcvgJAsG4UEQrGsHiZRVseU+A+91HNhD9mEMSstlD+Hb7uwMflwuow
afmwn0aGIKcKJkuMjicjd4cw5vCxFg2tN7g3ZXM2jES/cmrbvEi0wLyXAOLKLfMloCI5hYqoiI1S
jPcj4h4axW73ANYYyOTk+v21O7bt7QAKD4wC589DYEz+O8scD0uv6gkTA+Y1/V0S6gzfOH+8FiJ1
j6PUk/Mk83Npi2ELclEsKJ4DWJNN1imvCgesuHUsJ9wlmYEXQmHoXoSZd+w1a3plwYhufdtI3gs0
320ZlwJzmKnFe9FUHjqHtMt3yjzZgjEQZlaGhwIHEwtUMQR2tpBhFUGSqk25KU2bkHtoshBse6o1
PWg0jbut855Gvn4YpquY8cSyBNv6BmUdJ5+Gr7gRRPmXuW5Y0PTNxPVWIkmj36pivygPfz7xfFIE
GHlkep43A/VXCawo06qrQwam+u6nM+D5xxHq58Dnr7nEHy9DFpcjPOXKtmF90t66iTp7aj76vT1U
fbZgmhQty7GU9m+Uql8Fxvl15s9XIFTpnAj5z19VHuFqRkMoiW4osAqv0bzCq2biRODD/wdRocXh
t6SDNMr0MzWc37y6MV+tX8+PQtiom/Aa0b7V57cZ0v+rFZXZ7GUVFptg3ggYTqo25O/BGvZ1cu2U
3/FkcnyOx3ygZ2V4AtpxN7G7kN+3GYjHybzxyBT7/mk4DzalzsosKaLT6X743qMGL0MjQXpVQxiJ
FzkDOrRsLC5kn36oHL/gQ3/+3P78hjgJ64guXFjHwPrw6/WcTBlgAWmL/QRyHc5BHPp4FfIQckir
OpAyPMYd8zep5T+/qKkrndyyw85U2fqne7LyPF92sUslVOhPJ7Rk9tLNMyGSQ2iPJczPfyfI/+LO
/DWxN98xvBhaGG+Q30RU99d36LumAV4qbfY9cPG1VRnv6K+bVB+a37yrP38FTG5LyyJDjshhWp8E
SIPJcsFcJIM2nBrNFZhKj4UzE1b7O5XvL64fOienyFno1C3704fmx2SroT8ke8A96hi0bCnAkQf+
CfXDJItlmEa9xSfBOa8I+voqJgUiz46wQD6w5SOmx+6vEDhVmqr1pt3wfX9Yfd8r/v3F/9M1IZvO
rUWMWHBZrDmr/7Moy5ibjo7cCfdxEOj2vnDa5ozXnMPSP34dk6+9BZwVHQTg66+vo8qgLn2/DfYZ
vMB2VdnEM1Y+7okfkfL/ioK/g/ICSDBsydP231+9PwmDq29JEP4sDJKr+OOHfoiDQHdNc9boFTt8
eEYW9/UPcdBWX3BJmeBjUOYw1jvgBP4lDjpf6AYis60E6qH+ndT7L3HQ+SLJxvLNVqYQ/MZ/RG74
E41XZ3sLoYWvDPFwHvCflpYws2iMd+kqDCvq5RZlXzZ3bef3T0HXdDC3+rtWq7SbzCS+QrYuKNiA
EPu0GAeSiOqj5DnFp/lK1UG492K3XVNmYi2JmBAWga21YXBvXQ+Kkxi/PqCRoS/OPmLGN4pBvvac
1lb95GrrkmPBSuVsawq39+5IwuXscUX9aEL4e80dNlEaTW/MIuP4PObWTZwn3TERJv3nJLsezEjp
ECZZMnyaE+d8bH6b5+4TnVcEgnrsollcDmulaf1Wz9hhDYZB0LQukEDG8lZPzWAdzOlWs2jcm4IV
ddW2TXkrU6mtax8jgI+TFTh5A+3Ni8stJYT9ozEO9GAbXvJBpV126hiMf3VUWi6o+Wq+tli/7qLW
SLeR55FGlzCbV7Iz7XAVpYMm0Iw88RJH9NIpiRNSLx2y8mIgikn2ABmEDerwYrJZLdjizYGYUnb6
cy5sQIte0eML8AVHKrA+F1bTRRau8dh5QLCq4a0J9rGmMxUdvsKc6OD3m/y/j4TfPBIYFCrW2v//
8+DuNQ2T/3P5+t7+/FD448f+AHTrX0zI3LaDxo/nT/6H5cITwRA6YwL1neRi2rzUvwDd5hcWdZT8
eWJkQ95gRf/jieB80cFi8FMS+YVlgJ3FP2C5MKv4abOH/4mtAQwMyCG8msF499dFpSpNp1WDovjD
L87CSzsi3uUL1kN/WWFF1pr4IFFnd+1sr/vpSv3FpoUH2KcXd8AMKFg1XBPKLXijv744XwqiADZw
NZFo085r1FwLz/cDeQXbfGvT4J1EximsydK2jKtPTS7IJ6EaMpQdsGwGDf47KFPTcNlZDjThabAI
yU0DA4zQBN7qzva92r0ww9phisYBk+ZUvNQ7vJwrrypsqrV0K74oUgf5Tak7M5jdJb7BL6S+E4va
0IsrmYtkpuHVFzzLZj0DGFeO8WNDNpLqbAuA16UtJ+1O6CWH8oKm3utq9I2T4dTanT0RJQFX7V7N
XfH4TTAO+7GebUNNG++jsJTr0ibALiLq4gOYpVtj1K2jG2MstcKQo6kEnbAcKgLUC8OGoLjj2Gac
COEpioW0sO33GrqreYRiVRZbnIPe1g9RmSqNYPoyD0bnxZnzBMSeC+PGdIUPuhKgH14uFFaEg3EH
4KU+ge1klBqXQXqdmn73LfVG/TmT86ZZt5B+lpDD+VHX6JF6fJ9Ao+b06S1llI9tqVlrmok4xRvN
0cnkkXxPsfOJIGJQAAgWldqLanUqDFtqNaHkAu5KqBEjoIvQGR5VZA7NbkqH4bItyokPK46PnTOk
2wRC6tZwfLLHUenkp4wlbh8kQ7ozu6C/8+mY3rpe7yMCtKR/akdbTy0fd40T4zXJWCmARRAGde10
2Maae5WOZX9yOQVsYpymkPRi0hI29FKrJ6Rja7UDQKtGieKbY9EK2orTCHWyWKZWir0q6j2cclrC
x48StHGZ/Ox9OtYXmUaOGy1pWqmmrR+VL5xHarj0Czr9uKd9eh1FaVLzy30Oexr6M26FC3Os3LtO
5SH5nrZhSkMS0dSHemWlbmEt/BLFnk+wvrONKXFne1186/g1gK/OIkqaUxytoWvGeYlTHCRR/xI5
rSk2BblGnUus46uMayq714HoKUKU09yMYfaG7DZpGE6XTmabXzPpNTe6OQOCbagZVMs64y0+EPvb
5BvVrd3X7n3T1Ea5oBBee4lCYzhxBpB3YFvwK7HfLe1LSaUyHjoIkRW0UcvrN0LTCLy6VkRpEbk7
fzHEpZ/vG1j6X4txII3XRYYxj6gq8eI4NdxGRoBLNlhAKtxJRV/roUrOfRrFq9JvkTBDwyLXUe4p
37AIs/YfU4M3HpRmv4kz0/wgYlS8h0Md7UZi8xdlzIZ5qthuCK+Ae++XZnepSHYcdSss+FIPorlX
aBhvkWeiuQFfXGnML7DZ9T1l2XVq7WK9RGOFFllfTKIK1qM5R56QoYld9uJSzycIEGBqN22fhx9w
msS6J3t+k2mdc4tVWLzSFabOpI/brRd4XMLBqe+RlPJt0tX6qRn89AmCSPmQk1C6p75N7oMavnJR
jI23suIuJu7aIuIV9BhRo5YlQ70MEYartyQ0Mv8YmJVPAB1mt7w3cijIa1gX3hOR5q0XjcGH55nK
3skRYDPGbmi3O7r8Jrlowmhc5yrfOIQixoVrTbTVRW2FM8LXy4yN3zAqshWaW60GDJav3GnkXziA
jDyQbJegtBbyNGb4gYIcYCyPNpBFCFOZZpuuWxsH9KkpxvQwmcxMN3jrxOyWNpy9VzrixaJF+txW
U7cvddt7rE2j8ubhbK8Rjuo5ynpex9emCzXvNVAj6RSvcSmDxQn6AA6osfeeUTH4LKN4uhZllEDz
NoNu7fnh8MocorhsKvKrhwAywbrTxmcGmBnkd4z2W2rktdusNYtvJQDvPRSSYN3bcCHWOkNySgC7
sSlXakyzJ27+yV+nUwecth9j19zGXsMsFv8cYBOwJKqHr1nSackmsokXsi/E81B05qprglhsUua5
Ekhn2TyD76TJGdCgfCQtpD+VmNKXOgDDt7BtDLpjJ3dFfrza6IlfX/WDct9rc8ov9XJwo61pNeTS
hCJRskwmL9+O/tAxux4gtpdNSUG5X9jmnTcOGCCxT4bpIpdNuSN3xh+QxlPMKDWYeo+OlwgZBh9u
CvWzjouCZyaemwXb9jDZ5vGcNfZ8q02XeKmgfFNyQUVCqnJHY17MukOJSP7A0oPhmpp0G+T50BX3
cdgwya0il1pFwIU9cZqNjBPAngW5FOxTGZvZ0m7AvXT0qCeBqcG0yNPsXHrAwS3J16HQME6JeLTO
kNUZUoAgMa8iBhOXgu7jpV8alDmMVc/TdAqOqVv22yBuQwYkjopwNyjJlNQtzOBG47jFiUOfaopI
u16fv+jk55n6GGtfd5136G3cty3R8oEckVt/VKPuXE1TTDcyrQYEV3SfnZBLA+gTFnG5cnTcAFqc
b81GDeegF+4NvGH/QTRWtMgNUq6E2xg1FoFBaCNDNKcpqDqRYAuozgOAzuXU5H2Sl90bMa2Y70xY
gXTU/RFmQqAoUsd2AllXWnBFp4Du8mydVB0LclvWW6nnBTsIIyBYHfWX3VTww4Es40sj1yCbhol5
KQfUePK5GuUGlKfDecYPGnjjekrTFNkruWk1XANaPkGRdNUm1H2CGKb5JjsNmKWqruIRMkw6ekBS
o4LX4wfnIHBqH5qcmPsUK3CyWCA3sjB7MDZR5pz7IHejhaqFmaLNSAO7qCryYx47zhOrXA+HnpuK
fRAboY+0C6bLsS6GZO+E2nSjSEYwKzSRfBY9Nm5/bwSEohcGwZYFNrzqWzviut3SBdu8Qaytxg2z
V1AzXVUUO7sz9BPk2s5YlE4SEvPEDm/xaMV4snDB9/R7AuEFv9pHzIex02a3Uo7lsR4b3PhdIqHw
2D4Nw5uiDdvHxqqNx74kNWn7zpSyhA7ANhtFUIF6c0fCXSh19Uapi30tK69/EBNbyiXE3vjgO2aB
6m2w+1qDdMjvSz+tIW2QIyE/wdDvXEK1v4z1qttVmS3vIhprdnRrRNRcK+dpqOOK8AENS5SPOGoo
SDeEmOliIih8eDzAi6XvQs1dlFZcfXNjgzl5NxmpyYoejbcW2h2hmHow5DIjxGft9CGvTq3mBjXk
6Tw/BVFafDQ22aUlnoAB+0geo2B7BF4gfCjJQyzseqs+VWWf9FdZKkF1VL6GbyhhUjVhBtFG78rX
BydbRb7gUy9GnMi4B9wwWcVsiK2NRa/kbQd5Rju0nu3rlLwaRndwVUm9gBAxm448cQ9tZycO2x59
YAesPNzWo4wJ5gBqZbfGmI+mCOORvkj1yJc66g54GMwj5uDhNPHQiXmkx/b9iAaZHQcyXCXZfphw
kNxdy8Rn71ZsWYuhONJvoL0ybQ6HFaBXBhsQ1ioyVITFsBxzcug2ja7aCu88X9dDgEfhkdac6KEi
0B2epqBRzt5qen+f5FW7CapS+6aLyDvEnph9JKwq+5FRN+AMJ4iezF7qAacErXnk0y4upJgiSCEp
mrrFw5zqrMQ4TpLmEtfymhMJjiRcgrPArcVbX4/8Ee1yUHK4LDorwVEe+PgEIrZHFOK5pXXX6AbT
19+cxz7VDNqYSmeFHFsvAhZS1Wdjc2a0TZuElI3iqE/2eeN/zcLsthTFk+mmt4aVsbDa6LBsMl8Y
90/Xf38e/FVH/fHySgenye6Oqab+Sd+EiGWkca8168oD5klpUnbi4ifHv3+V7yfa/4w3frzMLMCZ
Qud1LPfToXOsp87oJ9muO7/hTNi1jLFtzcTIJYPZyh93RWow4cyC94zliXQ5SeV0IbqELDOdoftR
y9qTKtLmJkZ9vpgvGYqOblxqfTE+GQYHhTBWoHRb1sXmjHJPV8/3N/FfPeY3eozNoANh/6dP/E8K
7baNXqvX5mc55t8/9YdEK7/g0PypMI3f90OiVc4X4WLSRQYxZtVVcgv+S6KVX2xBY9sPNQZZlx/6
Q5Ax9C/zwMzRhcSRPyu4/0SQ+fwtYI7ABl8XqD8Cf7P9SaF1jbBTNcySdWOhv0LvGcfHwFDDb4YJ
v45XULmxm1LXYigMqSTqzU8vU8NEpZQtU2sFHPul0zVnRpH58OyauNv69Otuf/oU/kLtEfMY5Ofv
3fyKNDpDNZ4nNGKunPt5TOLSfeW0McF3BtkuO6SU8h7AfkEKd9U2adxQaXjrtER8Gs+5wYZBxTvt
nNNLNppiq5dudKhVYB5ECScSxRSzxJj0FxytppMYIHf/5u/9dab24wrxkct54IKF0/70OIpskGr9
kNm0ZeQprQRYzWtb8M+YTSyHFLxBvW8rugSc/L3KcUW1g9M/UO9QbPHKyg96GOL7LB+ag08k9+Pv
/zzjz/eJMz+pdfjQiIuGw/348+W03VIvImj4OHsLeRFOIh6WISLQyq774DhGjFxB6rMFSxqTbLCm
+7sGWYvcsO3sgkHaj8ZI3xxWuaMQxR7H8PVADJwEeccOi7B5Fz/jf8aaQeT0nORG/rXFaLlFPClu
/v69yM8i5HxrMGtmKAJHlkHIpwmaE05UI7emtS7ahC2vVTkcaQYqKoaClqe+CrF8pnQVrrW87t+B
mFEHlqQZvQpZikLPIUm7boeheVbo7fRACQ4IsWY9DSJGD7Iu7Cqc+5fp6rETzb/K8Hfum5yjBUi/
58Ii9hp61pNrNeYlcKElfr4rZwy7XTGq9P9Rd2bNbSNpl/5DHzqwJZZb7hQpSqQWS75ByJaMHcjE
jvz188DRM1NV3VEdHTE3U1dVLtsUSSDxLuc854iYj86jrNSZUGSN9iUZGRXZqRXtEiK34Mb4/raf
A/Kbi9G5byQq4UVQBXWmd+RJeArfDIFeMR5s2zxhuAbYjoch7Da1nrK3v/8sf9+4f7nNfNZEeMOR
fjse8Y1/ui6kT8K4aGexRfBd4ijIq12djeaZhdTed6xfRjZOD3Q8tCLlBO7l0DcMUTxVND9cqbp7
FaPYo8Wz/eNY48yGD0/xXlW+BZnUkY91UjPRQ/g4AQss58+QEchTj0brhMTNeLOcPD5L7cUxBiP8
c7QS0znI+2zX9Z75Hy4cTtZ/OVN+L/YXK4wjuBX+8mYDAgCIq/e2YPeHCypleDKLPeQoOdYfjdkL
d4rtLX6+gomsCuKTIwVGR7Iv5QGXSvAiWjF/gekx/0voM5c0XPAQuQH/kK+5nC4/P26QN0nJtP4H
sl45FGIU2zFAXE4y369kmI8uwYob8vj+Swj47xcLlyW06QQWR/qfX6zm+TAGcye2+H78NxOR7HIX
Zw9/f2n9mwOR2uz/vspf7lLyDFOvdRqxzZ00/cL2VJ/J/WD45sJ83/39a/2bE2HZSmDzWeDSYLD+
/I64JOk8ERNvK9QBJ8co9af2lHem/jdvAGA4diHchizwTLN6BAvZbP7+B/g3VxaudTf0A85/l3/9
8w9QG6OARCTEtsAP8WqNADqmSPv/4SlsL3/NH+9W6mwKB/QUHOG2SUjqn1/G5shdIjO97SCam2xt
FHPmvM/S4TqRhxumD1PlrFnLfi5rwj4pjAdtFREjjJo5nQPUK+x7EGOJW1+9Vo57P+7YR0y31pYo
lufE3MqUyDGTIah0J3teOaRZbkjQ+8qYO/39R/bX60MEAW5InpWuxT7JXMJt/3jJa1fnqvcaf0vH
QGBlj40ChwZidK82/sO38y8fG1uv5cFneRQwFmqUP79UoiMbVpsRbv3Cg+Mz58bBNzVBfU1V7Jw2
6lEVWuF/eFFKweXw/OPX5SFEMVF+LScrS7i/fl2j3Qm7tMZoSzPwTNxBvXVi+OVhNI1vjqqZq1tT
e4ORe8Qp/I4ZmXEozsgPMtnArpnJidqHtW0AUzfyHlvJAJp6d9nGy33RwTNuo/Q9stv3GtNsao71
KghIWISvyGwDIenKH6cj82B31fit+YilWa5VybQrnZN4tcytV6k5m7vGisR9UEO4oM8/S9sodv40
spuJmH85srz2CiDvguPjBrqxR8b+wpPODZ6WYJQH7X2gC/2sGJw9VLoE3CdE/IYFo38wVGbvcF3H
GzBHFgg9SDZY2zNkkF7F1IgQp/eZ3DOk2SkO5BCh9KddhM3eTejgEUg67vuU2sEuNMtnGF2PTQCu
pl6ljBKI1BXNVkQlSzsjLr/jliJIF+pss8PinmPOD+VhKgQzSUTkF5ep76M1eVFPJIrqtlbm8sxt
evurdfLgviz9dpdiDsG2maPQDC2oJnr0/HIT8ZT6Dphp3KbA51DyzehLvSch03rTqcWgXZHzS8eu
SJxqnMS9oqJWaz+d4bOaW9SxB9J09N4uMFl5CCig9Uwu9h07/DWPzhkt0rMa+i+YU+I1tet85+iq
3IbB8K1M1B0k23bX9t1wH2G9eVVZ5lyHvBHMnGVNStFcYMUNdbgKHXUtQ/06xX1wP+SgbDoJ6iPp
Y1zXAFq9tWUg2wDjPe0tXYjHbgggBbR8bX0TmAQlJfGvYECmycC7PaA4kNeWTIC3Ck7htzF19lXW
1ag2sil4rOtSMtosetQSMTgNTFqEjdHnzy9FrLurE839i7QxtSijmZ+NJJJ7HNb5xZAqPmjWk7ec
QuuCwzdZZ+yaN5YqfV7Zkxeslf02x5287d3A+jAicntZO4iL3Ui1Sfj2DjqDkJz0xY9mwJmfLe9w
ZOm4B/n1aEKK0vUzssnFGQmDNJrvI5z8uJ6z8Vhbef0ziqzkGTU7MgunTynAA2sTqNy6M/xCbzrG
8hsdwhGpWcNdfTUml1zVemPK2VrXc1P9Csx22hmDO9+VsgE1IoKvRIn3CvgD1FqrhjHV2On0zW/9
+uDiXyCiiTlz4kxMLtsE0faYAcRs4m+NbL8ha+mzVSes5kcBkuI1DnLvwKga/BJ4GGiAlb2m82HK
VjZiA/LKO2SNhDxs4IoR7ErWlulVr25TGfeo4t2NxHdwbvLqxgk7HYhqGpHwOt6W3xXvbX88R+3w
5Yj4VNQTG5ssJCOeGLlpnaUJv8GIk6cBPfN2IKRzB0IvWHg9+daqjeDJ6ecfbSDqW9GM3oPoORW4
B/HSOelwLErxqKXpXPuk5Dux+5pgaqA3dy7B0dxUhGEm4ch+KmQjZNfy7GcMZnMHF1k8Q4EBv5i8
dEQ682swxkxT8QZr1a5nwenIwJ8ET2CaK2El2Qe2lf7Mxme8pDoqrmKuR5BERrlFkNptkiLbo4t5
Zz/d7mJm/RvXKDBDmED1BtxBk1FmF8iBDiCuyf7JQLRfjYHKNipMzE2ax+rRNkrkTBGtHfb10n11
IgW3ymFNvYUnv7H8/MHozP4WR/MJ4826dxBw5tkzOqSKdyzzK6tZCwNgan+aeipucsio9AMGSvus
xQixajSAy6nxHhobrji+HX1Qk/NkQTwSFUaCvkcxiZtsX2nZb8PG/lEN6pQA4CrcnIGb6yHfHtz9
KD1Sowzzqc5J1Uum4b4SQ3Qee1KBV4LAvLdOlxYoOSCPOFnsegDmXkJiJeWU7lo3p84ChsRkGJF7
Hl96zZS7s0drnYyOttd+DXXeUE2/7uH1Yq5rK3fnAcBZ12N0R9lBdg0j1lPtGMOjga2KRQFkBcBP
8k54eARcT11ZbuH6K0LjI3Wb+kM3Zr63Ij99jarA3XaEVBDj1Thv/NQE8Pa5uFRM9PbwC/Q+8WTy
EQJKuFMBynLf48nZ2LPivpDhYUh7UONdRjuIW3vT4hM7SkcwrZ0F++yGrTp0Zux0isMbkuG1sX7l
CXME+O5z+xx0PiRdK5GPuMDmmxfnwUmSPXrytZ8toQTz1i266Fulw/mNONJF1FBYtylWal8Jl2dh
Ymd7t+nS7wE0FqDnpHeTKeEvpHLzmCZhTapqzOM2mR9NRs+bKXfiRyY73dbk3Z5HdpQn/GHiHDk4
B5NoMJ9tM0mvpJ87x6YdgzPCOnaNYRbfD/DbUNmHw0X52acsVfaciJI8Ljc2D1yiW9W3P4JSgMMo
qBdXfrOcLlgvrHxFRi8pZb43H1vX2TpGcyf7B7HQQ1qvehgL/HAxHptubUkv2hp9QDKf8upbp1Px
KVJVvqEjFRgM3dc5cgUxcfD5KkVSrhgH0Dud7vANuwhpDNcr77qcFIfQcZudy9B0Q9o2qc1Go54M
MbCsmZAoDKyARXLEMCB35gyJqLBUvdFuyYUfdY0hN1PluUeS2fURczFZQp3/GPDncYsZxrUKs+Je
p+rTa228B3njUAEXTfVUNf1lsTX7rfurCpq7ONfxo8hDb0M8EWSZMclILORzjv2URA8HIC7jqPs2
lox6I4iQTbQDkzJCwbJwMQ1sBx9Y4PUP6BriF1pMYgKqIrXwO1WsT/12aC7oOaNXv/GtW1l25sId
knfk3E/30zS1n61ITbYyKkmex4ofxjBd8eVMZgiJOKkwDKfZ1k74c1YUGJsGSBLeDIq+XSQyBxPp
5MwfhAL453JoYQajZKm2TehXN1n51ZGQ+uGrYLfb4/k05CmG9ozfAm71Cp6K9WJE1CRQxcNgUwue
1wPjH7g87FH2LKBdHpW9ip5dafV8+aBOV+1YxvtZOTg620h5hB7hQWG/ZhevtQintwZKZ7xp2qJr
WGAmUUTiipPgiquz8JIn+bCzc2PcODRDSFIiQ7yjpmCeJ6Pi3bN7f0+uCRTEHNb3ahzL8D7EtMMP
j7S1pJ6BZzpI8lRWhTL0w8R6i5KpaeWDnJP2PhuyG0uuH/igv6ErYcmSzEQcgm0/9L1+60EmrFuN
EwiQX3PoWaNsyWMmcXh53Jg2VNRV2Gi1jIhAPZSe2kh4w2fbaawdqNtk58P9vSsNH1VDU0bTEe0Q
DlMHcWYRLq4+4iAcNtGrdq6ykzGl8hU28KmPPmFA3oLRfm6C4cPCuY3B9rvI27fEdoG7x0Z5VYMZ
HFqz8tcuGTJsLYK82xR1Wm5q08JgXSOQvZSmbDbgA/ShLIzeYhRlUycForoPRdM9wa9Do1IHDoZQ
afeXvEpjIF6eEB8A8FCn8SP0bMlFfC3C6QmPlXPAd1y9T9okCbgZTefAaGn8IkC4e9LIEfbEZhrb
Skr/AJwyhv7HY++z77EvIwJGOuti1I4qR+65kwO1RsR+DeJsPAymFb9XdQcx1CKnwqvjamLreIfj
WGK/Y+CyssJUbYY2laDgq/HVbOB80asMmLnTWACKBs/4OZlpN+P09dJf/Jllj11q3IGzgYWeMiZx
EQ63xh0o2WxL/d9C3w+BC7qMWreNHZZnXGGGWKVe7e8AWftg6Exi3qF9OYS22wZwoDB4As5Ew+Az
NHxBvAA/o/PNEyOKet8gyeTm7kPc33jo3AiNSDYStlpWnx1Dx93kdOYH97CNpAfjeN4H+tEYTODH
eAgpg/umPuKsM+7NhDAVSApNfl+QbfzQUHxsoWtW+JKLek8sLBY0x7VOZRy8FIN5h1Gi/qH7ON2b
iUqeWK3XT1o4xrqX3XzFEwVduAy9awii8Dthm+ENao59b/tmtOKvjH8uR+F3/PzJUz+WCsqplWN1
zMhpIWEgfIGb2T37eZiHm75Lf3KwFBeMntPLaM5ptkkxMO4s1Vbf0eIo3kOSHxKW2YRcpPHF0rG6
DiDx7+pMOkcZ990ltQAS1oYdf0tlHz1IG1GAJKT8NMIbOpUUbN/KkKQicEJhsafmQTGiICVug3IC
pjMA8VmmDOkDk8HhNXeZDE4Gup8a7Fi48uqxvWIC9xmn6GY+VNRrJwKWva/RUmjKNNFeV4dL9aqC
bMbpZIy2fRQ+/XFS0E0e8oah7KoihWKnsqA6kGWafWsJ3n5XGfBLBHMsDla10iaa63jMXnooOhs7
mK2tWxpkU0COoLEJ4tI8q2RILoZnVltL1MTFE5S6MhwLU9KcNI88JjPSz3XhcJcoRE1zMAMGqzDy
kuuyDopAbJSEJqhV1V1yf7r6UeBz8Q+E5EjeggEJTVa/+E/XW49uQWmZz4GPTJWkzZHeKhA3I4lJ
Jm8QX7kRIoe1CuP2xcIshzmRiNwV/1v9BGs7bQe2lQ8WmDTaewoeUl2N4UMkEXB4FJkNq1q04Ou6
csf05iRJty+UQ7Fr6BnjY+0Camvi+cYbZYQumwlTMeL3PQ/1eT/5XnnIHcN0Xssoan9BDC5orZkc
Vne2W4J2pTEQ4ymcU89e6cjy500xY87eUEkbxoMpiDI+WXiDx+0kxFtfIsmUOnBuhXbCQ2qkMMvL
oe4CQI8qq7nbhQy29JnjQ4fzgKMAONFEcksaJjuInnLT1Zibha8DuZ3bZrbPjPfIg/Ag0W8RjhBl
hFXdOE6oXeGAh+0LWV8oCw3TW40KnXxrBNMvLUO0EvTe4x3OzvKHsCQ51xImxprIXY5/cxycMynI
+puNuPVXwhzoHsaJ8clbV+99NLYkNBGefMejkGOA7wYRzgxkt7mIIJ4vbe0Rhh70utgNYjDPTMNi
znN4eLCzHZI7VFTLhxRl8aUG2/2d1pJ20R9V8AN4c850nYP7m8I3RhCCM5KnlQRwoxERoHkcPfne
qrBegBDRGysl7quhSGn00vppYQmeo0bE+c4InB8FYHkUOMna7UgIkcwz96zl7/KcrBitGYGtKgKb
bliii+epn7qdY8r4RC6F9ZCLnPyGrOkREPVD1e5m4mGPc0nQmTTSptuWdo3IMfOGQ8bj6zXOgbpz
wuNt552AP2l0ln/UlEtLtE134FaNTyrorUfZZgYBFsAdA2wXBlm33USg+3qa5ghRqw+h0AXge59h
gnwb6YZ/2EItIEcdQ6Oevlpr+GpaA3wa6lAwcdbRsXw40EQp7Vy8qyivq/61kXF8F4QyPJNGlX4N
fgncVdfpfGGyxZOhpLBehIY+wcyuxRi0IYpBT9L4AgiJsond2q/WFmP7c3kJnK7eiBNkgssvth6E
sxwKckpr77HOnFemM7srzGTO2o14c/Uc0YLrV9EANlhj2P+RGhKyFnLl7mGK/Mch6cR9xxkseFvR
Ju0mMMCkEvenAZXesRndjojv+d3kb/EIcBAL/9rP9143E3bJEUGax6y/Bz1zuHgflu673wTjA8o5
563lrd/hkPFXzBe7IzsuQgGq0nnl6bQm/liR9xXN4mJgLVlTy6B7KvJgoyx9n1SlOoUeZNOoU/IT
TzzjthKLZiTpdQ2SDkjLGztIqWQvIWWBGxwYlji2lLTxSvKwGleo4sSqy+1p7zXa2Ndm+5sIU7dg
f2wJHc6odqbb+Mfat5GRcdJZTzJovJ+MMjKYLFmAuNTIULVb7a2MmuTRspkLomGGM+L1zn0U9esu
4zokU6SOYdURUM03TuKLtl2WrsHIFZuEp3oI30bD8V8TDUY/nxu5zgNtMZotp43g2XsH1tS5D4Ye
5CblyttgedkJCXe5pjiQW3saRqROql650H3upzHIEcSaxrwNMQHQA9FfXf2Zrhjp4HBqULv+jBvN
A7iImrUjWKMhIa9eSk/kz/jy9M0wYv+VfX1NS5RGxMa5Pcj4IDbrdeFllrMh/2kx7KQgE2VhPxFC
AVQC5OuaFghXuG7bnXTgHjRjQ5CgyoeKSCYuldBdwhdGask9j2nAb6lvgnrNRZRswsSNKbfm4TvH
KOZnz4ATtguxZesV6L2OnDs+FpK5lSx3ber3t84KzENBeQ9rj/HISNtlA5cNxWhc02LOLqquSZFV
JTEVdVPAEhDeeXLh6Y+5Ve0CpbONGFp6oLbwNk2Uycd0qh8B0Dsv1hStqsb+ntbeR4iLCeaKNwGT
8QZF3IsugQ023rqbi3sIIuKAh8C8Adl11mBqgzsybUicbvPnKglt0JtD8ktZtvXkN6773KMuPqaU
IFtDkbRGlDaHtDfexnI0D30h8svEk7Tqy2pxcMEtMHT8hGqu3Ldd4+3skikzA13nfqxcki88Eub6
tq5WLEPe+6AxT2ZcGPspKo+g4v1973IZZUn3CyO7/py1uXakMa37GZXYJMjyHth85SmZjKZdF1vV
VPmerBxmQ5Hf1VzhTkxWh06eu77fafaxjqr4jtl1bSE3/HTbUp/ikcBu7KINOR5IHTFEc5JWzJ/2
bgQ+pM5NQ61gogRbWzwo7B4r1MUS2qho+102+xIDB6tliZesOAUAWrQ0tmFWXRBM9+9lKD57Mt72
vTFZRwS9/O6g8K692azr1jvbujsYJCStUHq5p0ZBsKTgZXdQ7usku9awlX8kKPAWlGxCdHlJ/to0
zCcGYC95SPybNP01i4f1ki20ihFSHZ0mPcUVHryumYpPpyNTLHea71rHZ8yNSL/jtMbpZ9lxuWK3
b/M4MMROClogLdKjb88t6MpQlbAkKzZZlB4+uNEJroOmQSYcEoCWI6ptYJWkRy7tBMi16XuFBftU
DsQIOLVH095Pu5gzd2P6cT5s8CT+QGLsPkFeh/0eJ3bSrEbDxtI+Z92hmGfpMmupkzthoNzaO6VF
sNlgGfFHxC9wezYSDjq+mWeH3GN6LdTLMImHbc59K9f00lsdBDOi51AyygDWd40MN3oiYwpkQh/W
4R572HERJcaBsu+UsFMWmMM4zgdsRulH5Ec8Ff2MS6pJrTp7JioxY+WImD38iNOIgxibtI9QPDGi
k5fSn6zj3LPG9zDM8msYYxTDJhSgMoTJtRxwaXYuxKDXOp8mUi5tZqJeB9gr5nnoIfNezlPkmKu8
SW/ZOORPfedy2nJuAIvNINGvCJ5HSuqlnv8uCUb+mGtbfOb4WeDEhn25GgHArVr6urVdT8VOa+Tr
gZqt7kCGF2JRWIasdeKBbjGSqEsCo3ljUNxsM3tsWGF2/h3mMGb4BmkNbgdeXxcXz6wn+l/14GQ2
0SryIzGRfLPnehA83+O6enCM+NRmnfHkWiPiezLD4qugILnnikveCRhTdMRqNbaxeSb+7rMRU7+J
Z1sCtlAp26VZYZQAxFiG34d4uAk1vYFanjow/ZQZmSYncsLjFQcxguOqqS+QYGGYNFzoJXaJdSzs
RWRj9Tee3RVPyJwpWVbIcksbQKfaGS4s3UIP5ZdGvbluXKcFho9tGznhqvMjeiZ3MFGZeGylZNiO
TzBru5e4R2o9pQ5D6kKoS4aAAQ/7PQgUeCCTb22sIGFI0YKgeKNfKE0oIb4CVQMwZqid7ntqZW25
bqBfnXSHcH09APOn8E1ZCyuY60bZxxx5CcDQejVncXiYTavfmLQ6NudPicmgqMSTwrBCocX8NDUN
liMie2/B6MER5sRltjrdp7Vo4NVM+m326drKNassJhseF8uD15Rv42g511hbxK60nTN/x7mXH3qq
43s3BFs8K20x/GKtR0mkkcxmc2jeT4VhqpXv8zGgB4M9BCInenAYDf2kN6UL0RnhgwOsknXH58cn
aSS+tY2EVbzQwuHubeCTz/Z6LC3z5IYG+4J2yF9K7A9NL8edKMfXDpQMn2D8wgJ5L63APxTskra9
btq1Oc9NshENyVx1ZiDHZqXIuZK+dKCTUIxIOpOBC21VeGbzq9LpRSofr0c67327gS5a1FtiYHlk
M8hf6yBlAk8cNFzvYdOitOlXri3JMp1LrAE1ahhv44r0h93bQiJqlOOhpP98M4ErQU521VFktvqs
cuaxm8nmAhmB3KSrkjS5p0JY9rRWVgc6CXsywzXtn/0kKAnH8VpyexjWAZ9zY83P5SuA3F58TbAJ
dH5PZTHI9I7NCSsHuywgI4RFudC8arVyy1Hf9JRWUA2tsd3Y5NcdgtwswLGTWEe1kmVvGafiT5xQ
FohVy37y0F8zJ55kehLa5QgTPnCsnLXZYEc0crVtnLApSVomVbvHxh5ciGxizC8jdczdMEdxxwpN
umzTcBe1mD5rbnY0zhAVOz7ytWH3r3kLmS0IdLBNvQEETWCRIxbaR8/HibAaE7EXLRXUiqbUvqeD
I3u2YatI0JnS10p+tsSyftU5iR+N3xvnfKl4R22nN/R69cUJBxwsZZE9Zlp7B24l5zFkHPTqJra/
DUKcEcGgK/o90a1s3dokJdXT2s2wYS/xg2d0TsTN+QO1c6TGEyfuBBbMCXY9p/Tec3L2/jUByySj
RNa3gnHDXcQWaCPzMNkQs+ndeh2m94CwxE8goj5BIBqoFHSvydn0LoHRCUCudZH044YZkrMxE+x+
Eon5W5Mm4sni+rwm0uJSip2OuYOubyQftauaPRQyc6eFokmOUxkP7tFUJsmXVT6nmyAXJbkJMt9j
zu++qYizrjYdFvpjhbJtNZsZ77g0+gTsZUWQoIz9jmTpOvnpoqN9F2QiP8w2OWCsEyHgI1QEcenA
mPbDYY2vxeOTKmqSjJz5lJC1yzqiHvh2xloFH8ZovGM0/IoHmEoidB65oJjWM01akzqVPSaGtWRA
ZxiKNqOblNMl1Kyu94vvhIgrDs9kTYDocOCyVpSPDiPTsQySo7Ugn3xltvPyIBrMTR0WuE8MPlkk
Azo8k1YdHYRfNj/teCR8qbqR3ds9KKMEBm1O/hrM+tCsuzFDPpN0aXSNGRY9cXWl3/JKWm+j7RBg
5rfxlhC8eBfVkX4gqQxTp9/TX2IpY+1cWOYbqsvuJdc2g6mAKNBVpq3gmDREhyMbi7/CWAcbGRGp
FHp6flIhFCoA/uWOp0Wx9XyyeAlckvSj5mCzfrF+d8nYA5xKnWBlkY8egwARc2wdjS7sMEGnbEx0
Ecy71h30hUFLd9RJbnzkcey9Oi2FNt638tAaCYY1z0/2U5qlO6sjfsye+k8jJEYwHe3IwmlERMI6
sdJzpMfpkSuyoKR2m/faG7KfoLKZpSexfvLxzY04jXqGOjPrYxQMG6bGuKdB95MpIobnOY4wNbDc
CKa1OXTtkzWV7cXFtiouJmTJOwKS8MgIY+y3gl7roNKEDbrOzcfZSYiPMLzSOoRWUmwl9lp0UASx
+GHmP0eDY18SWVOIWD5Dm8IeuZ+59WTcssQMdEE+X4mExEBCpdv63qiNF78yvhyknc+lNNQNciJ5
pjVWG6raeli7afpqApuDcBr7z86UDzcD7/gmy64jo9ad7Wb9W1577aOwnOnNIIRimyFEOTl1Gqx7
P+rfOFbevLxw7mdjqQ/GMr84uWufqqIljjVOyse4w/8ViSH/BACHN3IE+dyUQ0qrYnI6ILA60Bum
OIuk3SVgbVzyHP1W7fFT6/cyVs1MqhTOwdIxqMdaCW2/oE4+ZamINxUw8YPCgrZpPV/jC+zttXIX
aUTVExvnxPJYSo+5j9ftG8fv7+RIdljiWdabCAsomwE/VblSRGheGbamp0GTgcfMNuNv9addLc38
iCPXeZS+ardliCGZMLPg1GOHIkzu18i8hoA/dKBwe/aU0SAMZ8dVK4yvUOrbrDooj6mxF8TvQZJ8
olL6Cpi2rmO22GlElp2PRE21XraXikQNL69XoQdQNm2KVTnnHH6zu0nK4Rw38Xn069ep59iZtL+Z
ChZDhjWb7I2TLbfsurdckKm+dSwGSaaIdUAxBIB7SLBGEg4lRpySgq1QB8qMRVYASZNcHkLrbeOg
TXVXOO4BTvzZVUy/Zzw0N0Zd7qENpmznduSls3FPaSb7Pvvuy7nZGX6c3Qd+mj/Z7L+eRUXHWOuU
UXhZW/v/0TVZ40DEIqygXfxhJIl7TwtsEi4R53tcSe3Lb3He/2vHyP9HDG/L43b+g0LxX5wgp4+m
Auydf/zRC/LPP/VPJ0jwDyFsRnih93+QPP+E9bj/wJUoTJR+pom+cIEt/W80B0Qemkr8SQE/AKp1
/tc/nSCW9Q/h21aI7Bdynm15wX/jBPmrBhZQGSx94TlIHL0A9NOfRY5eKwzpc6Jv0SgTFDQ/eFH+
ywooQnCzw1K9DnX+S7ksa//wKf0bp0bw29rwJ5mjFzBWwWNvsl7kvfzFWxAnuNQ8XfRbj5v2K3J9
si5d16VpFuT3HG1TY9RMfQg3K3/xb06/rZyMazR7JDI+XFIJJ+SnPVKkanGA1sFcn5jIYwtV6Uze
TBwL5rM8noNHt1BTu+q5F3eOiJBFNUhPtDf4d0bcAaJtQ/qianGjFosvFVbJwxgzePKwrGaLd5X5
1o4kBmtNR4C0RlW3eXG6dtgOQeSaVOETfeLUZDfntzV2mgbngvAJvyyGhovfGssMfPHTOkEGUjvg
9XBQt3tQQ+V1FvU2l9k5c7L2Ppd8FFOoLb2OJvK3qM8W++64OHnZkQ0/ncXd2/02+ra9FT9gEGvO
YvEBW+lMqIaXclLLxSeMlDRbOUUWv6aIEG6eGKYtUikyqVkoWux6rzOpgJtosR53v13IeeMau/m3
N9kZjOBhNNruVzTZeJerOsTHHGdd+NnJsWV2OnroCZrQfJl+u59je3FCR4spuiXMkGrendleFjbK
J3zh87gPzCA52Y5J7cpi6WwvVmuHeN/LlJbug5lqNrP2YsqG6+jjd8OonbZkTfVyqh6nmDCZtSYo
iGf+Yu9GZYnTWy6m79rtp/OwGMGZXcAPpZbbZYtNHE6EfFFVgHdcydaIN/5iKbcn4gRtuCRsTH57
ztlXh/VjbIP5wOpMXBTXAXjUzVCpcu22MuwwNffuAWsh3l/kK/q1LGx0Iyucp11Hy2J1E0PbYH7g
942KSVZlfQnDFwTVsvpAet2Fj4k3MrszByMW65717logrTz27YAeK6jqDE/UQBTsqsU2hpbVZ1lV
x1K8ipkBDhnVsxdtvKFioT51AcLnpmXwXvMoOEZl6zMcr4W87/uk+64qmwspV+Ybg+HkK+p8+ZNP
Jr21eRU++Lkg7U7NBfvy1O2TN57gMDlSoMw7myIajIBpDY/ILXgVbScW+qA8JLuULMzvqD7aO09n
3rSO3AGdeDpkqNoSx5q3aBftHeXi/GTX2rlVVpCrzWjZQL6zUiFj0eEw/USx6cWQLUd5HSIr/N4G
dfKtSfn0tm7Q1Cg6CrK8g5BCcujQfpFMSfIgzu3po6y79mVczMkrmyHvB+mPYFolNqqNZTVQwjxW
oSZNq7K+jDa1npJOlq/s76KrNzn+W9UvieUUvZGxsUcHGQ8+YJpmayDfvK9oU2oPVA4eWMT/BAZJ
rEqg0dtNC2rC2aXJEsfnNQXaY2/ybchgnqe3iYnvhTQhprYUqhb2Nobfs68HAoPzpLkxywNrHMZm
cdJ5Pv0v7s5kt3Jky7JfxIDRSBpJoEa3b9Rc9S5NCLnLRWPf00h+fa3r79XLDCRykEDmIGsWAYR7
SLcxHttn77Xt626HUyRjn0Tzcm4smrFnZBU7C7LXdLag6lC2nLKTpKvmlxBtSeWi5xSHpbEYSLGz
+TNDhvSPQ5nw+6jh6imp0yC9WEWuL7L3vWENixfP9QIb/yHB8vHKW8qKv1YFGkpQq23kqvYpxnyz
cWvXYAj1ioec+uHtUndKrWqIuj+cDuv6auIYejfCVR8c5ryjrJ4tuGu+jaeL+4aFW3eMqS2Opxre
g8W2fsHybWgF7Cd+Uost5xCrmVVgkIbW2h5LjoUxiqgAy6xlvDM9uLVctClSIrvsjmBJiJYmZCjf
k74j8RwPnocCbVsl13Wui7dpiFHFojSPSsEJMZJOUT/YRsjuPwyK7VcTL2wVCn29JiWk/BB0JHEp
LNh6gXcTtHN8tCNWdyvfcbI77kJCXyqBv2vLTOucqlHFet/lTh+eZqqDKYZj21/fttfi3w2ucOvT
RFSZrblytB1Y3DLadSU6GKKgzzbHgROyMfUSk5JxSstd88Fp0QkQBzCJVFYBMon04XWLO3tEGDyq
zeFKIoZOLY4iHEsFfyRYTiTS63Utg+iWT1L74eMou6VJ1wdN0hanET36vDD8WTznVH5QeuYJmpXD
/FYENodeHCTmjkRQUG6LjJN6KTPFiEyMvQFh6/pfFf3QTxOkSywvQqG4MnLj/Rr89nseRv3QQp/S
6wQP9xb8qqET11DX0bEgcLBLvpVVfDXJBVWyhs9RrGJ1ZUKrcjkXskQO9IfujOsS0yA/Oa1/6d1g
dLQayMbPq4VB6mccefmdGw0ddfPcDriDOAmYell7vjjQviOI2g9B9Am9ApFpUH0231RgWuClq1G/
YT8WvNEwGaginib4TbXN70Zl3/zDoUDimeO3vkwIFHtSYvN7xfP5Rsl4wuyUS1CDAwXSK7vD3biK
xZWxMKY+3YxysBt2/dR98DW0RPthBq+/4Ecc76Ipkhfhd9jwZmOtgyhZXjy+SL+4OUSsJdii76Yq
30tku5oiFDYUqxa/29eCtFivvabzPUpRuNFf3zT5kLjNAFmQPu5ByCy/adAm3r1B6+8liwq9tnWD
pmOzYOWFS/XSoluRXHSPy+Tizqtiuv9mLCWfPF2SBy5XeuLYwn414aRul3xT9TWG41XTZf69oAiy
WXNndycueiXOBstpXYTNAQqVk3d8Cbj2TJ2VfjYyjO6qsXrDGYJ+1JL00CksKBD3lKYxGDQLqizV
WudZu4o7u6MNrOJrrUABCWxX6wkfZsErAR9jbrdDbcFWLGTwq5G9cy61CrwVojOIgqgKuwN+D3Uz
uPY7EMPmJZsc92eQyTAndsPHDFJWh8/UlgwJLD39/jtQFjaWZvDB6VBrF4CWUnG0G0ZnnlHMwRls
NF1gfDud4VoyarDpceMsBhyfAZ3buCsmqzoPo+u+wRTnE1VgwWEQyum0dNG+6LoTAGTQA3lc8oC3
v9uMjSbndB7/SNqS1YcFaOxeJfgbN2Iuxq1OCLyu8B/YJDSmYj4lTWL9jJJ2CGjrcxMoG4Qm1rWX
9R9OgyMT8gelt7GlKrV2ujnFiOdwCoSyANRgY0t6olkVD2A81swmQB7Mi8lIsq5nbKodbQ0sDlZ8
BJD5szSd49vZEc6jKPMl2OVGmXyVLHnTYjLHo9Ur6X+R82G76LJxCrN80zZ1uHZ6W+3w1uo3M8F6
9qyFia2NtL3K8JitRnGF+VOXRltpSSRn1dvWr9mO63fhrcseYLtxLblKwyVYwTsodm6CRZOYEakF
6DHriUrT+yENWM0pT28K/LPkiOZNkUzlIQ69iWaFNHAf0tqytqagDlJ2LWSUMHJ55I7RZY481Dwf
rRRefvErXKT9xifR+TYJCLWWnhK+YbSxXPyhbW9SPRmSE2nuPy72nFRb0VORa812cSsHw+vHl+J1
cg3HVe4QmtkHXTq/AYPvnru2v7r4F5BUm0HFnQ0tpB6+0fWGXy6VbOwxg+7aFOJEgmwrt5tvJ8DD
C94df65bgxFdVdRHIw6DusI+eK2olXwK2eKaUm/sYTbficUOqF6a4sksHCqruozqYYMoyNovKmP2
hlHfT/IwuM4UbOZsmk8uH0SGXuAo3AN40gowwGzWXVQrHmNlk98VTPNQcZZ0FEevzdttbKvkqc4a
67GaAUstPnYDHJtLwIKP/JyRFLmC0yHK7DWDAeJWKmySeTTyvJ8TTGS+VuFzFY0L2JdoZhLkQZk3
hL2A2Wwqu6H4JGZpi1eybpiQLHfmpfXdCo9ZQRlgIjJy41ktziSHwGX1XQlxJfa6/G0egrDDJjvo
3xmQGL0CTchUVFoFI6KtgHevYiOrVwHN/dl0FGBLXIoHM8+waoh8lT9KbsZ0Yztt+pmyUhQ7rrHe
PdgsKrodqwRhhy/EPofxyHgYluGM2bgMAlhZJnI5HFxWGzyGq+YBy0s6rvuCjyFrUXw00MS55nRu
Ky7STxr7nAeU8e4ouxTPftk6LHXz3xTVThRRs3FBnLT9iGrbwkrjgwePj65b491V/cgIqXsTBqek
CMQparENcCx72bFPvfbSoY6x2clcHOSuxzVvnGhxSWBGHE0QY2+1qvQL7Ve0KMdUUHBL9h6whJ7t
gL4g01THQsrlbtIZllRVbHouX9vKMQg7br5PKnZT0o7lykh13/EFuAeWFeB36WtcwbjoK5/xo4WQ
pQkL9hnpcki3mDnSDQGpYYVxRZDhaZN92djlA2ai4lLQZ0tXDFMjXuu5jfjfzG5+U9F5tbVY2qxo
CGa4mFJ1D/2l26FUHwhl2OuU+TKmxuNSqla8irKQHQcsenvRdm8ljrh1n0j1OKogALqZzjuvnO6B
UE5mI71B4UGewiP7a8psDa7RkRMqFJuQ1ogzoB96ddskWLaizcs7XG7haRlxP62rKMRByeH9mzqF
fYND7hsXeHaJRxTBfizD98oag5PP9uwHuLH4K+ABuvZ5gYirV/wn7sC2sKbDjPDD2GbWZVGO76OK
1+zFRt3Vz0Xbi4NsIqx6JpxZ3VMuf86jEuQgPRcHX+nxBeky+4go6jCsKmbrexz8svtwMq5BDADJ
KHdlRP3Zvk0xKXOSymnTX0MZ4M/r/Muy+/ZmJmRCn4sOeYClkw33x67nzOxyYHE0CQXhA8CQIN0B
NBx2g2dG7jiiZssysOiPuGYyKWyy6zMT22hC0VpN4ASTk2OyDTNSd6r/HDs9P9p7r1wWWiQrI7GZ
JosPBYWdi3fwCq4JxPwdfNqy6lg/1v6A9cApbfXRY9f7XXuJjDauDLN5E3RBeAzHcAoPxMi6eI09
mCHaOLn6HcRsNRKUnHNnOnMHRmLBdSA0g+lgp5i4CpcUqhs3CSZmtzr0g+M8AhgbISYHgiMxCnBK
xHj5iFTWHfun5A+MK0HIBsz1B9KlRiluhrZmI/8H4tX/AXpV1tT/Qs4O+v3/iPJ5m/xqiax/9//n
qqn+qhBpE/SKP2jdf/u3/0X6qHvtOvh3yt9/0EdvPzWknE737d8U0n/+uX/Bi8ECI3bC6MTp6AcE
1P+pkMq/oIuijhK/RqDkAvIvhVTKv9jNCk4EwsshMiB/6P8ppN5fiqsSBHtHAg60aTD9L8CLwTVd
pci/SZVu4LpMbKxSET7g+vxdJJWAN6ZeWtN27ms5HnAKJ5tpZJW5WjQIlqxn6dQXfuhsJspSrw7w
62PH/vMEsmDkYdpIA25lLIx/FLDOw7uRk4X/ouxIEDbKvo4cztGfSHYQur4+C/M/z8XIwvPx4FGV
9maxx4+fiDqZ6gE4Yd5t2Kf13CJdenZoalGR3FD+3rb4yWrqJnp677mIjUxhq7CQPM//MVLOSDnY
Lr0yvpR9bH/baeVu00lJLvHZEB6pb7EeJfX28o6WqLHY2Nq4Hpdou8nuTVubG3xgjCHedSKxy9ac
+h5xe9N61RjdRX+GGJIkIntkdv+BU5h2aLzTTECNL7mjmUjRKJRoUIrEed30BpuF3a3hmjNWSW7H
1DKOnUvpSZwyUQUWWMD2z1Q2S7JDZMjTJL3vHIGwhtr0oprOucFePsc7wodjfiDcarJTO9UDxqK4
g5ym/Kvtbe7CnL3ldc6UPeTHdS3cgTGUgbS/jqbmOqT6OcAJuw30A41OeKSZc722Z+LtpqyiECIs
cO6GputX1aACPJN58sbfhoI8xu0l8qygOnp5zdQNDY4JnFnGfSQHusS35Z8ZXeWDG66QH5ndSzLs
086QUcZmBhVguXV7H5pd7HOZWwvintahRcJ+YxVnhj0MsYg0dzvN4RpkMzeOwEjvUk6TjceUkrfy
JhA98uEYEvNfVWNtH1Aduct0SMfhUbiZrs9cSriEBAo8zZZUTXmQuL/7je2Q7tzGi+Sf+z8XqM7R
SbSbs2zMjwK76bzVRUhYTvuERjmd6+m509rKD5gH3J/k/pqXQldcluO2/aq6yJ4IqFDovBJ/Ln9j
y0yLka4K8UyIgRqgrgfHT2NtuwYMBQ6GMiN1SlPh/KxDe5gOeA8CeMKUYKGbhMjC67mNq5NjegD0
Sd1mVL4lCBSJf/FRNV66bpjKdR/h3Y8HW58CYxDSO7uo36ihsx8ZN7sPopjqHHrZYaT7E2ca/2v5
FIG710RMk14+Jy28pZUt2BlTrlXPT0npLF+FLpbb0ROtWedDpe37lp0tKkOVyWuN3FKPbPDi4jZM
Qwwhk1uhklGOXbz31tLcs0AW9KeFNdVZkQgznJue4z43s66py5PkyLBAB06/JQDs3UA60d6mjrEl
khaxYvs8OJwJqy4uXMg/9oAEpqsZf29aJB99WAFc8meXTzstlgsRzFkS1sPEh59IRK/WkkcAj/GQ
F1NVfuW1heO91ckujtzpLbz2HjZdGvh7u2mL9zmP+d7geejvUZPbtesW1bkU+fjcEYbWyOI5ZwHh
sFPius4FjZGJzw2d9DCMFVjmxAZjl+IiKA6NaNwXu8g6GJjmmmaTOtwSKcqjh2xKyKr4UHSjfQgo
e8f9XP/EOE+YI8UNRMEArjE+HnnznCjhHJkQ6Cpw85KGTlR0h5yVryic8nR7ctqFWDi30+WVbUj5
q8E4CSI7d6Z4T+yCateCWwZDrxmJfcXmTjeVdYxciRgxxlVunmpDgHitGcLZ9TI+dGinBX2lCmvR
aVR1Puyn2QHx0y3wsMBPuhDPl4jP6toThJZGbLL3oEErrAdc5u048suXIO0ssTETXxQsaIyrkVV5
NEPyGAx+FdbsrHIO/b3XGj6e+o1OHfETNKK9DWSVomdkLdRvDbigQ+fgCCdFWKHOijVRhObAbgQB
rYNuw7Gfxf2pgRRQPlfT4FBOAVhjO7pN9FjMFhr3nF1FYmn8EdSNnZhtjqfogSZxn45MQfXlKvA9
1zq7i0w/1RhV4yFOxJDdug4M4CDmyFljLS+2tUyEWi1DO1zgXcTPXEXKfDPGk92vOof+v43tUcyH
zRsfPuSy0LyEcDsXzis7iVYdr3yCvOyqh3xqLGpdZ8IC1MWSaAKCfIWtSk/Xj0lDieeaswE1kMFX
Eddm3scvErAx4qVI1LbkNAvXtp9M56xPxIEP82Ihh7M5nKaqTvAlhkhKkphJtOsbLzyUZDC+1BQ2
byUO5Adr7FnHT02y/MpI+JOfhMWCHJUOQbXhf0HnK3Sj5WiXbpYdOtJzGKWSuZnXBEili0vs+iKA
syTpkxXppcuWmQGhdZxPzOtXMRI0/fOMXHBbidq4G5VNUFbcDG0K0xeizejHxd0Ek/3RCfT4amYu
LlBxQ2cnLPadaSECdhAB66HbLFzm53ERQUu2gTs+TGV0mwOp3eC3b9z5APnLvoswqF3zdSC1sAFk
bKFKaLQVpjKQAXYy6egeL/I0H1ycgOFlRj8llGZ8fYsEGL4rb/YeAFudGydNppXfF48DcbyznS69
3kRc8vYOh9wmikfrkCZc/9HPfqZ1Pq6TmjNTii5zPrwWLRbNYwne+mQg/1KPNPW6U/WJ1G9TYg/z
7SgmbJ6cMdf7T5w+zThd1rkZUjDPbZGuaThNHq2m9OHw+ULuRwfhpYiV3uSsd8jIxFfTBtxm5CV2
QSuXjPHaB1aLmhgtJ6tZonYlYm6Ubo7S/qHtPr5RI4BzVYFKmAoxsDckBrrStWGni0uUQpW4MsGK
nXW/73VszpY2sbsWRHa2UN1mH/RL4t+NcEl+IYDEX65R+l1387Nl82CFDhODNfBHzO3JRE1zoZVY
GD18EKotZ9HVl7LI8Ug8Q/1sLF2LvV3m0jqNaXq03dnbgyUPHgD7YxLJEvv5WvvwAbCiwziYNuM3
cLvSMBtkdBqqHpAuYqyxkO3kQsnrHOANFrapbC7L2URvZxx+GbdMxteKrUiyV5VdfTWeI9oHE0lo
cjK1/fDkFqgtN0lo8zLGcTjMMKyj+suJMTIz3kg9HiP0UMXTOYPslNtVEZ7K0hmfGhFwT4Q/i4wV
dpVzhAlSLI9O2zyO2PSqk9c245UFZegfhZlAtmHRt6ioySHx5o7m+anFFaR5ZPV5X6BKuHqicbqJ
+JowiPeXZGn1sQhirGSplRyi0Dj3wnU1O7PeVJAf2AwTgsu3IRxznuXMIF8YoacXr/Q1XHgjN1R8
AmazquDVsspoRjwTQX8MKBQqPwkrhBRZMBo9E2d1v2g4JvUeg0O5H8KueR0mhOwUid8+Odmc33QS
j+46b2L7TQrXfsU2Z911vUd2Kh9jJDE6q4u9R6Yx3wpJrGuaawBZDhj2Xzwg8w2PrOBPrbTz1kfd
p2ybiKK9Mc8XLEBZTZlx07zZiUe60w61T51uNDBwWMlcvtJLED8bSNcYXBXoRMG8+AQzdgLoA61X
/liM26zDZsnNr94lq+xaLqdxlGwJm8yf2BEVsRL9lGYSC590OPn7CRLpqcETog4Ct/Ryk7FjgHqd
l0N6l1Q43jahsYi8Wi7L14NkLbjs+KfC58zzR70WdhnEu6QZ6l3nN850HrhZP3dEgr11ImP5lKSZ
nWyky6Ncz1n92M5dTC61XvDMouGCF7qaw0sKzC9JAOE27Bw6E2g62UmLqSDJ3d+uUohF9VV4022Q
khNL2T68FU2NWZQtYaRXsHSulUSOsG9rpxkurplQU2kQnYYh2TZKTydRhKQYherWY0eIaTCgRoaO
9cpa5z7WOUd73l0zhf2jgb+4j6VMftS8tvjpr4k3R5VZRdg0tBQNexj3tgJKKEm40bLedY9keCJW
gRlhcAr/xTijEhsSKjZ93O3IBjcPfCKoPGjvYvd6Oav8DqNZF5KxT+YpyndVEqa8hd7y7iTafEh+
CrVJjRYAFni9643r1JDZnXb6oMeKXQ410e59otlgM+BywqYLdcXEhvQpcqqJUpVm3ikimUcoXUty
wN3g3nJpCKJTk9byZ1rVzia3uc5sGDKQXzTtWqjYBDk+Jnn1wZBadSXvYrQt8gZZJeQd63FLOFm6
5ctsk35YsvEnX19102U5e19tC57u+K7jQ6R1Xm9Gne+MIE5IHbdX3EvBMLSNGpHYpy7UkaJLoxOk
VRIr5VbF9UatueQu+9DN5IfX8wBbL/3A/RUxzL0uYHOVcVEK1fwCvRlnnNU7YboDr6W/xqb1oC0M
9nsxlaBctNcesppjfpFomCvvjwORBq9tW2JsKjwYBCvQDk25nlkRQbSQqvtwLWL3sT96e0UFxyui
Yh4Q66h1totSQk1UfFTdqakk0lgXXivooyvdln03PqPBUEOOGz1mrvE0+mVQByHlHn0SfiU4RZ8c
ACA6DDEWeqliZ1Oysy/qxd8h74o9/vfghGnQIE435bGGDXHxx0Zs6lbRnMSzOc+3czLAr4kMInc7
kJROyqT7RbJX9btQhn178PsSm72t+6+6X8Z7/EgVWy0pyBB4FAHzkJ5m8en2RmywLNvfyM/LI5Yq
Yluw1W7wgii2MBicCx2Z22okPuaDLF3l+JJnKHDjIXPVr25g4MlU7LPhKPHyaG5JshH7LqXByIzK
eaMbHu4LU4QskBsHlXxB2S6OHbhQklIBr3fKhIxT6o7kfH0qvI4faKzqS8BjeJf0bfzBTAEtgMNP
PbnZJ+Wu3hZ3k8egX4KEAey0td3KO2alqJ/IUYt9G7CH4eDcVFXn7O2k9L8GjBq0MLXu0amzw1IG
rAHVkKUbeO3lLi1a56mF0wKwJxA/w9Ytz+iG5hPdEB0zylhjhP0spkOODTfeckiaX8ugBmJVmd3g
OfCCK6uGoauR/O7r0VjNp5epgB4E1XiQK532QG7J3mYIx/v0mr+o2b/yMamziwmc+U6h/dNGCj/o
xmAZCxFl++X3nHZZimBUsi12i+B59pS6mWWdrhUEJe7EOUJxnYmNZJL/nVtTu297iGg8TIjtYAoj
pewNt53iEO1VWqXrGmZ/tC+qEEKvPe+bnAZiwnr0QaAFoyGTVHxh3G0w0BCPW1N/zJ2Dvd2m6bzs
OyAixlapWh7ZPi3vsCPUY1lhvVsJDZunkS6JilIAHEk8jkuUm71X5UdDmfle57a6HzLX5heaAtz7
XlUy7FiFu3MGxGms/t7NmHM/HXy3+WEISUJAZuEq6MF8zEO3PzQ07zzkgsXNJGhZWWdl9qPJHfEj
EkVNy1Pb3iFlQ2EoZ0nQ7yqfdWZTl+BpmGi8C4w1hd87SU61gHHozMPBmfw7ljdm7Ta+e549aTNI
hQvrBqe5lhx73JGB8rekkrYjD2OoVYLxTsXFDQdVuuUrE7yVNGER4mqbZl061CWwb3nGIxWOYBXH
6VkpEHxULSFmN+Hg3QdQkTEZpGq+Nblltpy4gK0caJJzHzcnAoy1PE92WkOn9ypWu7p7t9JAPHuq
AUkyNbSDL2PItBdnzlszpWLvF5ngXV3EoVa8/20Z91u/w/B3aibDGGI0tADgo8w5S+b/nMr8EzND
sp4qG70AuNfvcfajPedD9dgsxjAORdZd7jRYsSLz1qc8WAe4xBgGMb/vvckbEdinR13l/l0NRRHi
JNcBQpSa680qMl5yxhVXHn3RBr9F71ysiLG7Y4/AQBbNF0XN+3ay+nltd4Akr8JJyhJ+r6e0P6pp
QZuaq0W9Kll47+AD1gA9eJLElHf5TV/vZ+4b7JoYbLFhePPPhTaSFzxV4tu0g8V9IPQuw5LsU+Ut
/V1tsSW51SPhHf4ufSiW/FdDrKnbWk43HRi9528dpMUl6zx5wHfRbFtRAE8R2TVYPWODDXooNiBv
NZPU4sWScRhaMbt2eNI4SMzwIJyCXa9X2jz0/uGS/e82VP9/t1awFesq1H3cyP95LeKJzUKmP8uv
v1uv//Un/7lc8P9C43GJM+GYxqIWQBT+x3IhcGhR5b7gOpSi/vteROn9JQP4qCHVwAFqv4fe/8/V
grT/Cn0pQ6xzrCo4df9LqwXfvm4O/rZZ4MEP9CsQ/HXu1YX9982CKEQaR9a87AvbRQilSA1/vx0S
yYVk5w3E67xIvXW4oHIsOirpt3WXYcOIkUJtOjKkW7JSbsYnI0yIUdqjF6XnznsbTEO/s43uHyvo
PEDaK4rtvQLeZz3nyUFDWDzzAxUbFmzmYEL8jrezF5jpRlWiPdekYBMojUMMIFShBF9v3r4GUOBj
/KVULH/kIosCtRTzPJM8XRy5nRpyhfvK1zgGqhS/A0lgb0igZ6XBQYSgBQ/ZGKWP4+A1BwhNPqbN
qfzhga9nUxnZwxe/nA1gocM7rGJnePZBU7E1tSJspkQuo73xah/HEr4Wwl3wKGA7qjEGpdP4jA3c
gSpikFFyl/T21Temm6sN3K8XYElZ5FwPqInqrDTIIv+QsvERBxcsULmNWjfxrxFgXK1Q1ayPaohC
ZjQYjDdVVOGFoq+eG6Bgcd5WlZ+cJzBKyybI575cF47fcjFoYdQiu+PGik01vOcyM9dCrr76LRfL
+daYxyy6J+uaoFMyA4MAY7TqPe6aJBNDdCGvnrKDbUlzsRZrfEgdvC7XjXLKcaNjxr/GWD+6xp2t
DXFwckdu06mLJb2o5pIV09q2dCMONgS8/Llycq7fohc9Ku5CT9L6SmX9VrUI0WcsO39f/N7BLmU1
WB8if8F8kLSJg+LWEp1OfbY/cLWs8GyDk9vZdTluZNs1l3q26ose2/bg9FXzqHlCcXVKSA+m8FXN
JsfuvyXxV3+Krp/uxJg6wxrhTK6r2s9OVtvLLYUQXCmmGmNtEow0YBI92PduU+0qz553Os6AoM4Q
WPHeh6hvWfc61VXyBt63Rh1Y8K7gJQ9+FFG/PNnVNF3KWKGu9RPdKnZo7lOsx9s8g+VI0Du7HWDT
7Qb+rr2fE9mPbBLoXXetZnHx1sYdP5JZKOyaycTfWgOuzSpqo5Nt99VBFjrclVwB9x7Tx2uLugq2
xHlRjktXk8JIQnpg1YxnDLl88tEO51VrTPYYjgTmE81vagYRbLjhducmalGC+2R+qWOmOzUM08np
oYlq7MJrKp9whCnKGtd2wRp+lckovtjs7x8cOeIFom7uns+6s4eRy61Qs8f7DvBmPOBzlZt08Oyn
JTbLq4UWccj9Ky7ApI0/rhwG3tdcl/LNhcf1mpEN/h50m776oFcAuw8HlxTofSqihMd11qvLLIvm
vYEx9kA9k/1pQuy6THp++CSTgWS5znFJpsXgsV/kTEF7I72whbWzbGJHyU+zpP28qq3OfZGyie/x
imeb1ozFzylO/fugddRHqq2OtZJHvxuFJCNCqB8d5hocT4Jt8MvvopAJqRESVAOGsfvUx3izCkVa
f0usOa/XD8Kzww7pW/vG1CzERP6yUPP3MBfTxa8Sa1xNui/ate/Zht8Tqgd55MB+d+hVtuBvTCU3
4DyP7ui/GE646bJHyrDi3wXzDJvDcZrfsrDMkbc5mg+OyrhBpE7kfGdMw6wFoSfjhM4kgOawtCUN
igkm5tyLH9siLj9V6/LtB3YFcSKo84sgVyzJ45fY6+xguvG4zNvreLly4uqe9Cb+6hUz2LSVAcYf
AjLsdtu52cWuFD1bD7c9LcIjAYnFS9mbkr5H2BKBx9BKZ+YlsJ0cO0zGl6TmaoHHtZfdYyxz8N/V
hGUM3lH3lKZACpQCQoAHR50dlUePce6673iUshNE7ujDMt2TqIvpJo0H1i21mNMHAMJZcagM4IKx
WyRmJicejhneWlh91iyPXKWcG5UF/W3eZBrWIR2YQKCm8C6kGhiD4GINvBC5uzwY1cXmIJO+f4pE
kj9rgLwfMmUqHsfYx+OkBan/1LBmCtUNpv3ilGRDQXfvQN6dgY+G1XKeWeNN3ilLW6vlSzaWOPqE
odKx73pl7QLMlxQXqrC55avArhgx9SFuUtKtuLNOcxgVn1PXhJ9W7gz7JgSdikPFab/svvex8Cby
ebSTYLu4NLQEjQ5IAbb1L3CR5hOb0oLj3fF67iNWRuZ2GU17UEiJOOL6nO2gXX5HXdVmq+u0cRhQ
K3ZIjNbMJaPzjn00VTepyZxd1Vxf0RnlB+qVV+168D5HrcfswfJdS61bERQ1qnLG8zZA7LsLNcfL
qrE9xm9tRvNpEWiAlkno/1H38/DtjBCX7m1qSTM+d26Ga7Dwy9uI7rtdOUAOaYs55cnedu1DWflF
uO4w4K7gnfjuOut41JVQynh4jSq767op3vm6qE4a8x5qO9iML78wtIWRmTfELB0nYac6m3An5She
lJ8nrzyzs2RNqqMHuRRW4wcoOe+c50G9D5UXvoQaRo/tt1S+wVyLS2qDh2uEP1owPlHb+IxfFUxl
03fpmdiDcM+ajp43EqFq2kxee0wIKYAB6MrqNHamOUNQkI+TCOTJ5TKyizpB0iAgWL2AibwsZccL
EnLoriy/79+8sKEtIxiXN2Fatc97NJduCXLYHEH5iLPMvfFbR3IbUZ1662Wrh1VvHMYhL3a96Ji2
tbpNtE7u8qjJ3irMd7cMbI27j5pywJWM2+AmxOj4Hi7IIFOifgg35/7CGmhDeQgf59hdNmFbu89g
fLKjVkXOohCZzwVN0fkvKQHkcltDq9xr0u3vZSzMK1EqH4YgRPNzqO2QbupFiBXB74k9fq5P8NuG
4zxbwHx6GLpRZO1YwtBZZ6Up0OXEjB+znBuCdeg469zxs/cAMHkPq8UJDm0kgjtux1puGluMvyOv
C7eE1tYtg9FW1AlGeaf7LJM6OBjkv9XQZ97Z7oNnd47AJYTjk+2P9VtLrms/ui37HX8MOLFSVud7
TA9Ymqs8zlGLRsEFVpBtw196SIyFt4uqmeRRXhNCp8HC9rCuYBDEmLel+4Nd0fyzhm+TcD1MuG+a
PORUT4uoGw5Lhwq8xmeFkyAmvLzmbYZyAtAGHC0euvek+b/sncly5EyWnV+lTXuUAXDAASwkM0UA
MXMmg2RuYMxMpmOeBweeXl/U0FbVZpK6N1ppV3/lwGQmwnH93HO+I6nvdAPWXYvN65O+WtvarsmY
PwKC5JMaEMgJ68UwHlnHvRam8h5V6sSvqZkhw9eC7caIXzjELAN7qjFrA7Nbab4OeSYOWbHw6iUH
sYNo72yLdBKvs3PEu5PtVhyLZHzdu740zQvoVAd/M1K2DnD6eFVSHgGJVFt8k+qx94cmNKR175Wp
dS8ZlTdtZ85PMUvTS74W1i6HDplsB4t3LOQcG9ag185eyMLW3rGqy+4trbuLggCZR5TouuWhZDV8
160Mi5uO68zVBRYDZpFeIhHaS2XIM9CW4TqqTvqh0I66kubGZQNL6rlhgZKFAteg2FltVQBWNoBU
bNBJeDq7NbjHkJs8ot9Aq3PVsggOMb2e/G5qP3ppyTdAUMtFFh5yslNN8ooZx33isLPQF1sz+eQD
bO5YsFSM0AaWUj4z1Yu3anXX5G7HiTrUrCDWxj/ZfON/AjmVAFcolwLOzbx5rGANp1BwbsZixwNH
c6Awz6abQ/Tc9YtGVJyai2WEY+/GuJULG6VmNUv+lQal4OyNvZdGHi2zNuwnx/gCUN2/YNRZb/Wa
qxE25IIeVq8YP2tPYt5goVXdQbcm5M6CaguEkBFnAbTz4JO++ezxNQxRwnK9fECUNrG/tyBoQjdx
AHcERkyCwpo0Vn0TN6Q46AYJk09EUB7iyQ7eY2/kojN5MdVlucejur0VstZgVBwCbk21YGOSq/Xe
94aj9oM0fbiZ8wx/31bpG5T9cnkq624Zdw6urj9956h636CeLbvYpI5zg/dOAQ1WPBwPg3C4chRF
jUXHT6yVl14RzLyrlmc+M5iSBaWitL6Av+o4/Um40iYK+OysfeG8cyy5z5LuJko14uBcTcvwohdK
fpmm1vd5VR76YZISul3rbNh2icmWiyOJ2P7/d15WQzos/5eWQmr1HMpv/vfyyPMXVQYD+sg/yyN/
/1X/nky3PekF/6SA/E0ZkcFfnFtZkHRxO8qb+fHfbZfCpIcQ/YOlIPrM39oL/6GNiL+gpmCroMfX
9LFRuv8V26V/Kzv8F22EdHjgYYZBh/EEyuh/aA/ENaGNyhj6nUlrX7E3Yt3Hd2CrUBT6oJZg3RXm
vv5mxNwHWca7pZX2SsefkZf3fRdAYy5t5cP7ZMaaqdC4yDZgJikXIP1bDy8j59zswnrKxtIeL0Gp
dwB+YabnrTcPe7wcaAjThJeGJLlB+wSvhDs2sngsU0rZjknQN6SaxrJs9pJUxidvehzrltDsuYgV
1CTxaqjrfNpjdSE9I3+KtoUN5wXzXk+B/7jmADNbYsgRi6AcsRrMZtOO+fNkN+0vLMwGW2pdlG9m
EcufJbjTD3tU5KUWe8zYHsFmTLga9Or3ZHrZe+EDotpwXSLo2cxeThnbVOqX3jRHnPpuZ19Mrx0/
QdHF5E8W/Yn8pWeEFLO5T5eem2lZWRlWoWpgJQgrmixMMRhiDWWm2oKMA24a+pBvVBQF0/uh7HCF
bhZrDD6b2hLqy6wY5jYpr9I8mhmKsXA5qPPSsdxPlFTKS4Y5AdHn0AZx6nvBxYoI47iGBqq5OPvT
0nMxr8gM0LhSIVwM1fg+jkNGKcgw9HwDeeE0GyDZ5a7NquynGMb8smZOQy915/xOLEu/obVzUI5L
vFabWbfVqcEyQ4tXM5N+h298Lfuq2E+rT+SqdEfOxWpp8cyYpHGuyaiGa9s2OasPYEkBFkWnfrak
ytqIP4G+TvNQPFZNmzzlVp91u3gZgkOSDv1emFp9ZEpz18THlHpc+asRspLvjev7iGuxO0lrtgzI
edqwEF6Azx8MZ8q+3H4iGxLUuRJny2PZvXE7kyrzxZqMDZMDW952gvGM8X2hWcDBD7Jt6n6IN8Pi
sbcNFr+/jvLGYBmB+X8yO/qXLA2CfEM/cUwN7RCXDQ/sYsfc7uUc0GGEsXE/87po9/GciSYa2lLl
IbPNtHcIRV/60rGfiGX6b3nWu3jYEr6qUfWwTYOpXB/jbBDFM20W9Qa/hDgwZYlHi8XIWU9m0u0L
bADEeYBJfGKTys+eB6cX+jyYVtZ1XmhVpW/sulEMpzReIEGb+hbjwpQaBVUtPwOqo30ieTiPGQUN
1YTNNAYziEy72MnW7o6+0EO2q5nNd2Zt0kAwo7MtBGsH9YyXDcdWm2TBBzfC9j1jCf9TTr5z9uYJ
eyzYOR9iDlWbTu2/jxO7XgY9BLtlsJwvz8V2+KB4f0r23zMIokAX40NbrdSh5ePonDrmWwJVBYLm
TnTN+OHWSf8zyRRdVYW3+AXAGw24xc7XURxgxi3EjqXJV47NidhEDFw3ObeNmoHTQUwlKwT7caKR
OSBvqynIMaM0F/2NjtOgzZLgsEK7sbthG/gWroc69vmYJ+awYC3HVIovigf2q3aMFKtVY8QHO0iK
30s7WpArlLhUfMLpdWeh8ouVcn2PNcndaxOUQYL8y/YqFs4v3vAZvZSedIhtybS7VyN3N2NFocrg
WG/Z8QcXsGjqjSeKdWQZ8FRW3VrveJksn/m4FPctKY2ZW2vreJs2V/betYYqYAE3/co6R9Mf198a
FhbsoonmOjRm1tify8Ga5AXoxvrCYeOWr3ROxF9+Zvj3eJkqvoDXdqee0NRHiol93BCP9nCiFKXx
3uIvv4dGZ/4hXQyfzc+aceXu2BZANzx1McGn/h5Ei0Set6nNtp0SHv/qaCODCges3NiNZDG9G4uR
jxmGd9J9Q4Wofdd5C+DpuHZffQoeASTOI8DxkU+Kg4AIBjarkzOdMT8QcsoDYG57M9jN+FXosQGr
PzlbuwchyeYMmiTHWUnCB0FuO+crS/kbyeCWvAK3HmgBEw7i1mOQGzYduesy4T4c3KNXtOsHisLY
UKU0+5HVQBjnsjY46YsJQdbl58bpFS2YYNiY+MUuYOGBMGPDL2XB33AcwfX9jUboPUDXEj8M7luP
MCvqnWj1eC2U9tPHEqGMA8VWriQaPlc/ILXrA1YpLbbj3GCeHCV+zLSr/QhXcwB7bipm75Xa9umP
9lK7DOEetzgAHa/bDH3fJdsY+WjrGGAbtqmO3QlEhVdGeMtwEbvT4reRu8aPY4e3MQJnrKbQHzxO
LcewWHuwfuHFncfYk0xzZ5cI104Qzy954Omzbdj2gXA3jVzlzbJs+ROVV757ivNh/OyXfqZ9oqwB
FeBhRjW8fQ6NjU/m+eJOnYAOL5/HgiSmkO17rYA5xermLs5AydepG59TPBYVSWjnt04y86iSwGd5
jaNrmJoldJb0R84gt4lb79vV6U/4tgaug4KEXKxKmCXgJzLuRdp5H/KUhWrdcBJv0FBQWoCzz+Lo
SDcX2wWaQHOcnRhjm2vUtbMVhnQnVq6LaFmPFyPiYOd3qAiJ/5vMItws2xqsa9L4xsptdEjdw5wX
vr5feXx+xyApIL1PjDpOUnBjMpG9cJUTq1uRTg+5yozIhlPKs1JMZ5Dtfkgmx+vDQqTZsR4KM0po
FX/OXShk9EHhXGPr/Kv0U/uPn8bDZ+FD+tPr0v80WlHDJpdOGs5mBksQbUTee4SZN1UAAiXKiUEQ
AUBXxMCQ1Ybx5iQpfVrxPKX11s/HtgrtNgUh1/qwLKKSB0aFZZMlSwQMXoDa7pQ+Nqkh7ls8aum2
0IAHItLyhPa8JM+OwSr6b7+lvbCUBbqYg9B6LEuk2S0nwoS/BlXoYYVAyrqq6oK7eYXobg42i6vB
GpOfZdML3IqdwX4IqPrPxh4oNsNYv/wwbW/IwsXBaLQdDR8H1Mjt0NtX0ipv9MiRORTkAfu7xeVy
B6o3uyM+YnPzy8XNE6uhhpcdCFa7xs1b42W7MkSt6SanmftX3y7dxwh950QDmk/GHrIhEuSS63vV
BfiDKDVExkKjh5PXCyt7GD3WzBsh3SFspJGsoZUPnaTODHeNi6SMD4nDbjfP3e3tt3ptwWvV5OvZ
BQkGt+BjuqWizccChaFpDtb6KvCmeFvXT+ujb3jeRza3Y3Zgnd0+TXiB8A8ru4NfmvJbXtLaW9IH
TGXqTmc9xV4C58uXi8T6ZDelfI77DoEqtuXQQWteMVSWo81zgh2b71mw4NxNfRZ2/gxcZ0ggFBsM
pk+uogOCEhesfqTOgXByjLtX0Dw3jbVOlgZHRZW3kZ/AG3lXboaq3pW4hPNh4bhQpIJg/mIsbPbx
OBRfDArx84J6ry4+EUHSri2xPz42MG2jvEy9aoMKxuqGA3oZQmhxwzWPHZCxBHGGhxE96FyNExEZ
q+i+WXJYz3NO4jO0mqB4SlZtvGF4Cq72pPGyTEHwPRJqf0N4m8++6xqfixnjEoAUjNRdZyP0FItx
wWkH29mW5M33oKK5fs+YvI9mpZZ3WgW4IbMFLd4lcaUBV7+DlUsVZpbv6yEF1knMoiBBLYYGEDft
ATA2jYIppk+ppj3gVStBIk048+opYfHU25IiE5MdWEgMlb2SkyTtso8FxR+ndZD52R2dpUXZsqgP
SjMak0J6V4I/UzWVv/rOp64Hf0NlRz13qatDc0mylcmsO5rSE1Q4WA/065xSirOggRhZQ9UeHpIJ
lRBWlPFVsw8FfWcXN0c9O5HsmFR4yfWWWFlD858pa/8Dn4rlP7ukkft9wJNGIgZCjkv0JR6/iAGD
4CB4spsHmK+DLrxI2eBT9hr04BEOt82DuSJ8XPDAkcol/QB3awXKSMi1xvZu+u4r6ZWWwop4IXgS
MBM8FuADqejI10DZF8zNRrxPynksIszGY2SbGEWpAysnOGTE4t1uSTcVwJT2LllrxiMWkWRwbKsp
nfuBPGx8cq1+Sh4oDRglMIg4ng9Znw5kBN3qafBI1F18l5kEcxBR2n0AI0Pser0m6dHFVZ59pKrp
yoPbxcuya3J/6X+UKz69AP8sIJ5ldOMf2O0AP3l0+XoMSSxuFf/us423cep7xsyOKMPWuoH+kxuJ
2vwh5NQjvAzdDPrqth2k+HQJLry+2/mQ+xbliktpdRHLCDzjgEf2g8ISzBgo9UtSkeE/0smSmbuk
a4QPy2tU2V3teLO3pROwHiL6GQBKgkMzwkHNcr+U9JiRxiGDsoNFxLsLWIQXn6p2XFqbnYhNyQVv
hhJx0pBF/6lv+/Gm1Ut5Bx3a9rYGZcjY3+U8+A1rqGoJDjEeSgiUbuklV15Ssj86eqADdjTn+TLN
9B5DxE37qXxLJDGCnxafYXY847CElWxuDv82pgrB7OX0mLVB8Jkx3NFsS5LTC3u+HXzboNTXg6V8
QCaJ4axF5Meu52xWFgU7D5c2iRe/M85pmX8GmXHjVVqNemSvyzvRiZsfhtAB/klzfaSy9jnDtDmG
XZqz3EdQu8mtYsr2uZZNEkJZb1k+IdDyRBnxH/xOBnszD9pxiMRAAGYokuXXosiRHPvZUgys5oTn
tJ3Gl9FqMXFjjLjFZBYqBERrgKJ1iudR9ZxNyKD5WWk+sUwtMd1ZsY9xkF2/mn72nj8WTO8++Z0a
fjbQXa7CxSHtO2y3/bSoa69uZNvGXzPMb6myHhYpCvsuMCv6lfnVJkbcajKNkJodqqXqMqGkcuhM
vdcKr2XL0Y9HCifkG95cbkx51nRfpSGrI7UbBu0UXnzxmqK/ZWVXS24KBaciXEtXPLiFEs9tWjv7
tMnKY2Yv5vpTWPx1sHjozjyXwyt/88GBOkOTX197Vs3Cvj82ZqW/FBzy67Kkw/vSKooErcyyT5Ow
bngsQvlbalqLTxj9HuUdpFNMaikts8So6lL9VIFyKu5puG45l4RfBjuDbwy/fR6cfbkuZITyGm2p
8uOZujcu+xhxYprfBjdN2NCSyJrCGUARJ3YbyOj/rbr5LzHz/n/8NXauvutbTPtf/iP6q+T4NH53
y/N3PxZ/i6T//Wf+Z3/w377/M8KlxTDwf9It/2f1O+m+/u2x+/r93Sf/LF7+7Vf+3dbl/AVjVuC5
AdZMFErx77YuT/IjpiskBeH/cG/9g6oZ/MWSCIqmZXlw1yn0/rt0adl/kaTIkS4DV7JJD/4ryqV1
Eyb/xdTFl2C1fUN0gtd05X8oDpc87ZM1ZgPahmKNnkDRe109o6JHog7kgwNDHVyKVbc7IND1zjGH
jMoy5Yb/9Nf2+Lcv+G8wQx7rtBr6//7fOCFvbej//Cfhj0EbKPKpSyRRoMn+B3uZO0lIPIHNuNz3
V14sY4h/Pj5OqrRfR7pcLhrSGw0DmzKGNN7UdJpTtBpZmXYP/F/pzqD5Z1/nSfmDYJ7JoUUEblMA
PApLwF2PqA/xcbXJIi9BMN4nFAET/ySJFTnk+56SvmMZTlz96Ces6wxaToatVgUdoV1O2YXrLVHF
5X6bmOP8YdlQXfArY+3OcK6ccWqz8Q7Qb7cZP59paaRjhA+f/qoNuo3HzLkvU2EcfJlRN7n2g/gy
XbO4c1mHcwNtuTnhGG7Pml1NSmXBTyEG9hx5574GPAT7ehEgofO5f0xxeGdET/MUqsxc/xw8vz+O
cuoeEmewTmZt2QxR/ogN2BkelRT4wytmDzMTp4J+N02GgUlXqjfi/VxvMgzRgNst+WFhJNvW0rTf
kpnOqLHJxRHEYoxdQNjUxCljx09hOwpEJqznpDv0+CIvyhDzcfJdi46mYlctaglbpx3Py2DQfg0e
JGrmtom8sbUxTkP13S14ByI0Ae5Nrhxe3dZswiCtqZFQlAMW1ex+YHOPIzI4XSQ6k2VZL1a+tRYZ
mlG0lMZ8p0p6iMdZG+/z3E67jJHkYDt/Nb3ZRGlqHOhi7abfbZnR2Vjm1RP2dFS7WBrj3dyUHWtt
4YSWtJlvqGJI2oNfGWe8E0TkNWk1dOoHSjJ5p5s5fWarme7tkheW4XZu5AGn3OdiwW3TSzIvyXIj
2hkhzKmcZVsZ9bJneEt5dyQxPQ5jX4WsU9ODAF0VNkPX3jd5PnzQ8ziAwaEhZ1UKUlZlGD+9tdWR
P1XLfckimGATzxNWDWoQxj6PGoS22/+Sv1VHk/mM8/19RWG4EZ6n5U45mBmLpLae0Citx7Gc9IPZ
kFxrm0mH3CepTAiqh/TW5JaU47pv1DA8FYWLs+DmdnGGOIva1WD5IGS9neSaPgLGp2iElpoI67gb
kblio4CTnvBIS0FqZdrbCRYNfpumuRaVEPxrsqquijyJqqD8I+ZERdYclK+wcwlTL52HksbvTmhY
HiYAshedaOdY41DZV5Wyie0sAetGsDOsW4Mg6pTpb7XGPNgp8l0dPNQox2qKQufWZk86q3PJe7mT
xxEh+ayhHIdGown0VOVSHjKkpNOScDMZhZYPaW+IZ7abrDv6e92sDLpT7d75tbPsb1CW0Jmkdaf8
5CHgkMHgBPF1LGkbYIGpzIraMkukvxbk3D8lU8z2RjEgz7HG4G9mkzWsaD8Up/5BEARCf52auwrr
23GtJnfHxRXMEX/sbcu0/KwqR3zZjZ+eZDa4h2Eex1+4EtpnTmYf7l3d/bC55WJAyeItoFEoew1l
0BUoJiXzI17drebhR6fwxnHZu8C65jBRWUnmmgXNLk6g76Dk+A1l0+YMH7hjOkYlU2HSGdmO3mGM
lIR/UZViBcKv6jx4TK0paHccJzFgpJgltPD4KhyDXG6Z1ivqEmF+WnFv5qEgtQf3s7T88cmwa8n+
w+y7a08rJAbHWBEBBf+IdRkihEiWHWfasu8XWhXnpUw+G6uapltym881A/qw0SLId2szV9RrUGYk
Lgkr9pPn4CiLRBN8L6DP1bGpqjaax6E6+UXvfjhpMBxYnZTOZhrEbQby5B70FnhPFoTNn7TOlwag
cDf88Xr/hu1ch4/SCuiolPUDAy4ej7k/VIZpbTDIQByq0hLF6hY8w1gDUXaF8vxZeDl5KJmo+sMp
u+IYZFzVA3P2jvEM6X4pS3qK7XguQgMIHcIsbGEWDfNk7ct4hmMos2UKLk0ZW/k31WT9+GxlpfMC
ZV/o3dAYzVfPR+Erju3qWheJcdcqSf9nXPOCjixK8Pj0rvNbkzkdBt02dq5qmj5y+uLOWOt0fCZ6
0m2lnAlRuqTNt2YqZoF5k+efmxugW+2XfoiRuN9qAkt/rMV2n3kV9v5x9rIie0INrY+DZ6UvY9cy
EsC3kKGwWtu9pyOo/aPKXqC6pZ58r1otfi2zvxxxCrv7JZ3kmWy8/x2UHsaJ2EbCM3yLzu/M0ZSY
tnP7ghVE3lX6ZhvIC2+PBuBsnN5A4cwZVT9LR7bPDqf1C92L7SGrjAnktbJpxcoTX5Lz9fWdWGNx
uEFmCJAwu6BHekCyZu/as7v3H3oq17PTlD8bweSD2YbS6gAeiABlxECXArM1cUF16efsZiNVP02K
Dl8WahARniT3h6SjtnogYZSR3E2rm3ey8M2osAyKU9nVWE8WdfAct4Z6SmZ3/ii6xnoTxixeapT1
U2D17s4Wun6IC0O9VVgLWRH2sErlxG/BrDVjVqlgrBY6nfeE9AZWaY4PaNM3ntzFBnhNw/m2mtf6
G2yAvfMJby5kaeLprdNWBdcBlvBt+Yn6tuSlPUTrigcDxs8EWhspWR8y1P9wVuqIr0//JKI7c3sk
jaqwyd55QpVbMIA01pQO2iN/wSgdvD9LagCMQFPIARj3AXmKQjtSWvQgmqXBLObvWRQVCYcqtMV+
m4Pj1meo1rjENggw9sFDK5hPfZ0lJ8aZOlxsCzYOY4N8dfox0VsUz2pmCe5Zj3mLjDQvkFzzle4I
UNiiwxbX7txsSffdqGcIBm4VysL0zrO6YV1qkJVh1Xf9RxNLsOSZu9BtYg+7OIeE57KX2lUt9u7a
8op9XK/qgd0EOQOHZ9QhlHuRXNxp4UKLoNuicb4T86i76kOa4xc3afyy+cn2Pjqu6yAfJkRwFi/9
T+ZLvI5AdanSplz9nXVo+1h0AIiR/PEKI8z492wj5bpfzFFmYZ8He98gvcfdjHrg2HUOGZlGbNmp
zzZRTu19DW5r67sj3MaRyjodm9by2GvWP6e6Xt07GZTTY+ImBvsVuOhnwt/56zSyTrML09y7U18c
WXZmj1OSiD6itWf5nugv8rbQAbJ3fwjisKL8MA2DrPfEFlqNxN4NPaeM6tKHxKLJtGYxy42OV+10
q+Tye1izGUs8tM24hBGocYetddewxOyqS+WN5n02e0gk85hfNdYsbq+Eqsj/QhY8BHT9ANnxM/A+
to9/1rrB2Exs2pL2uMMkJuvnyN390ZlvuaaObdMLp03i8uCOIx5xncZhN5DjneLplKvg0sGyx/lX
RAw9zV6BnLzMLl45m7jk1zrHrLInORgnchtf+FWDh1bA4tssq118j5WnHnJORd7+QBM3nXa4PbBr
Zy3qmNUd1k+mN2Myr42ZBo+84GgIxvZ2hnc77EzHxpukoS5nuo7/IEEXUW4J70GDjmOA9kZMirNn
cYo2xtWQK2cI+eiYUsCmMvf0KfWRR3HZ8zpLnHV6sMU9psVgmwar/nIz0DILp/ieEK4JJABrOkTX
gp14/905EJWlgsPDer7hzalihs7VAkk0U3jMUJDO4iz4F4qyJfciItz1W2N7TiR50WyKps2iMo29
uyUpkqs1dvctIveOHHe/L2q7R6jkcnO51eaeJXzmG3ClGA81d4wwUIkNfsldnhxNWRsYm3NRF2/S
Lr9hMj4ME4HY3ErybatzE+JpNR8NbMdWR7ayJnED2WdYH4q2LX9NSzc+1ExfG3Jp6pKseXKg3GQ+
edbPHFVpGAYHbGOOExLQhzCchLsU9Yq3devO4oWkYN4sUElTpQCZjcuWkstNnRwJcJySRV6IEJ7z
NZV3yoM8BMkLE0sGJ3C7Ni5ZSwwJjIzlb3+Gg7Dpp/mV2j2G6ErVW3KvDXDRPA0x1uZPamGijTvl
nP1hdJ4cq/RPk9lAArUgP3qGn+6pVMvO4+LpCrW2g7d7k/Z4DDE20vgckWsFXuzqQ1xIuadF8OTn
A9ozHhs/IbQ48Uwv27lyAUBbQXoijohX1c70ucNvHuK1pTNlrbHEWl7JFhyjLXwHt+u2JT0H4brq
gwNLpzWZIVZn8reujVESubk4xmvJ+QeR5mrFTW1sE0g6Ud1Dd0xUi6XAbZx9Hy/WO8seuAWtKk6N
XnGIGpa6KwzXiVzssGAOMvuHTwbsHW9G88wEnGH8TqdrXsW32vfGeLaIQz3na5tzVrIDQmPrkks3
ZMldUrZALRnaflmWxRWavS8E4KH+jaHXBcowXHSbnfsydkPWDT9NzbsP+8NKZyteJeO1zXBU28uE
hAyh42AQTT1qe2QBhgHkxce/EVa44amXZ4CdvEpErJj80PWai5lUFm0SdSjpik+Ewy3SLJE2dc6c
UHVflgTEjmcz3jpc8Y+9sA86X42TCR0igjg/3A/B0J9Y5SLtJyyXALjYTndf27dd/d2YmxFi245F
22eezA8V65FDnugXnzy/MkrKNbpDnFu31xJVAbF1q0squ/dOBR9lSef6lH51CBvbogO0peAnPWd6
LA/BAEOS10x1cfLZ5jnu6mPg56xkkvLEJnY9S4AjEWG8Amusv3cWWFxkqwpC4lV6xNmj9gKl1RQV
sbWlolwMxGa4Tkab83Cw7CN7IQ9rUua/hJ3VlxzD2Lol6gatYeSMtE3jQLOfCF22qHsVlDEFq158
1oVbRgYl35RLcdPfoDp6l1RR0udrL7yB645dkcNT9Y5sJM9WaR9WUbZRAw7kraGh5WI6nngDU3LD
yUwDbgobqtyeiDo4f1YbcM994j8w8NLmasxBEfqCK8oqDaawNWjOoNmml8Yj6uqaYMXoB/AnGSV2
dhrK9rvCUX9HRYcBwd2ntJ4D/mQ2FDp3VrlDYmqOt8zcthU6D+28W+6gd0yh9Gzzl+D7Y0c35sPW
q7TzwZq0PVLF4T+iRLsYTydiKl4AvqygdQ3T905OA4saDLkU0X0I8sjPmGhoZrZ1gH+V2LcNDk12
u8H17f2cVkT9ZpO/enpBAezMQTQbhqIqunMvbNEgKzVypoaT1vJJ1HcqpT1ltb4dAYgKrPspCF60
mYfAMh6XlM3wkP6c1fiNxk61jNnUDOJ2SyO2K1V76C0APrw2je3sFjR12oYZQeufgSFOsBmAOR54
cx1yyz3cNuazg/hLyxL01/JAizQfKPwNvG2/5WzfG5Ub7HtvPbiGdXYJG2yYtXbtNH2O9oyLT0NU
Pra8DqAQmMu9iJPPUdjrtquNKzQt96HM9PAFK6458ONABxhbsHu1R9FyG2NEMV6A19/VAmE6o/Ha
o93hgjGK9J5rf3CAQzswW/cqKJsNDRYkob9YV9o3gjCTPriPLtkxQ2+7Jt8u9fA9mr29mXg1bwKP
bWU++lCLSvkn96hAZFlV5nqbzOVrK1PGS5KZaTvh8OMFvivjBrey2BfV8mE0PnysmwUwnQn3bAqn
GF64ZPe7wknvsnhK94E1PM5dwahH6uURL/QbO4Vl62l6LK3CZF60UIw8C7yW6KHptylmhtQukPIs
515r2RO9nCoyl1kcujA47J4iHpKZ3da1ppOTXwCGneG6EXWtq5ebWZJ00CkO+oCVx3gv10B3YT+O
QTjWVvmKiU1/BNVwytY+3xRcOEBz6IMEsLMfGigXUaGX+ojLb9wZdOIeDSuxD3lPS0q7TuqHyi3M
ip744sr/KrCXzo9k1ljY/PbQuV7nlOsfVdPxMUEZiiilubAB40KNVWNnatJBjl1k3E3GB1Uit4xj
3VxZ96+HPKMdbpNCB8T202Sbapi6sAUkeLE9FDOuDfGOchj5siZzuo3NVd/VoP3RMm3ZHqXMWEUZ
OmU3pC8GfTmbYM40/1Cm2jc2dCDP9hY8jo1I3yZXO/c8ZxG80wtVM/0lA6pGktdE9TquGQ3R/Nr+
o+8d42hzU4Q2bS4ADVfvV7PG/WEK5pcgzl5Ku072HjHDPcjD/GqAsQhbiNcg6PlzpWYa5RD+aZcy
8MLynmdOxuaYJY7DFN48S5OcBmCAaFk9sC8mILDj2pCibOf5E8ooJZec4kdJgOaOfWoeqikxkIiL
vKFbVPFvdpi18C+eam7QeE+y6aPmNA8p4pjCpEpQqFr3t4fURXJvsR8rmeknVnetFbKl4zpsejNK
qt7hgFXvtMfmFypqqhMZUN1EPYZ3ysbBbWIXgXW9n/Mk/9FlOIaHXLjYETGo1kk+Eq3mjZyu9Jps
MEXYBucCtRXUUHuTukxyOdO+YFxjmyqorOHqEfWGZb0GLgnYje3nOS2wrJsvumckI0NhHaaZ1lka
64i5EUzAJaEX6d17QqbnGE/dgV8iIpNQ3YW7vH1Ng8I9WoNs/8BQYHSMnf4ys+7bV4Ywn+zKVQ/U
Doh9Sw50D7SJAciSrQVXFeRDODWlezGnIewY/oQVYEnL/hd357EjO7Jd0V/RB4gPZNALggZpmD6z
vJsQVbfupQl6Bu3Xa7FakJ4EaKCBBhIaaKDR16YJxtln77VRKc5gyMUjhunoSO5FPHHww8siIr7r
o3rxVULD2Ik0N+tg1HOIelnNXp7hv+LRhz8VtxNWK7sG7b4uJxF/eg7nBd0Ig3wWhnfpYAciZg4F
61r8ucZo/Q593fzSTaOMN8Izw+8wS3JSn8V7CsgTh2FzL7r2Cex0v+kXwaubhz0ZuiqQ3J1P46jz
cYV3u/acot9Doig+IVW7e6+CMgtTVd/2JUygCHmQzbmc7/SuHwE7ZiTXJtdDNpNC8dWyEOgczOdL
/3KZpNXVkwSb2V+7AOPUcz/FENhE84pftSb4lhc7Kai2mlWUPFDWUH9YkYcbTQ/dYWdivYAvarHK
rYhG0VXxFMe+f8B2z3WnI3nqdScaM1MOvDE9TsL9k3D9X5CfarMADzkJRhjxPST9J5CbPEygWWGl
VEZxdhZLnTvfOZHj38cuXZhGn1VBqcSvAtrFqrET8zLm3I1p3DEpup60T+puYDOV/oevDG/PqpqS
M5AF64kSTw4PEyZZHmbpYeyFseepy2gssO3qxXOaGfZVGHz8aFSOjh2Mlz2D3bDl8n6vEgdwCYup
wK3V2eCiTsqphyOIKrntBRtc2RbaldyQj4hhPcUVSIJC5qxXGgg4seb0m06kSPgNf/mswrBl3jAf
6meD+P2KRX16JOTHUCyljzKEqUUV44MhSF0SZnUJVIJvE6H/OI1qiRAWjzpfopVuD0HTu/52VCTl
s/Q6EaSjmBL3ySjSBH6OpJZvbXeQVZyiUYHghsNZiDRqbZXfcybjry9PPp3YMSpAA20eyCl6tcOB
bBDre56AhX2XtotqWcYELI1m5u2120PJx3ADrw8bH0VrVUBMKb2ouA3vmnmej5NyvIvnq2wtq/TZ
jpx7p6XNDGzwp5PSRjBiaULt3lk2BoNmMu997kWnJKbwqU4IJjQvU5e+2X2J0NpiJa5Ld6XJ+xCH
ymZmwfLYkOxZCw2Eg6mXzYmAkQKw4sQvtkidvSSiDbW0xcbYAL+aDXdTx5VFSqrSdrnyV1F3P7Jr
ulCVlB5TvmufOcSFcJ3hW8dl2KC9dDbfgAiUrdEB8iQCQI+4RwlU1FveZjSaA1WEcC4sG1CLN7ES
JJKK+Y5WKx4nOfh8sBeWjuRI5t6sc5+30cvFi17HlBthg7UP3pgVXwZaA9+fTpRnftH0SMnvs8J4
jUAogpLz7eJPUCvWWj9qv8Df5GSeU8qwhrk/RBWl1wRglf5mJ432xNxvnsnY2S8wcnBho7HHGL3j
FhN4BqAh6qzswwHv/St2FXMdooHfsxSS0p5PGN0TiXprdS+2apNbr418jSfJm8COaYivFNummA9V
wjWTWJr/BBOpPYA7nDmuGr3HHubaz11sxMUuc9GpighKEkqmZZXcBkV2i2xPK9ZmNvp4DiIKtHlJ
EkAElnCTZzz/zYF1FNe4ohNJwERt7d0uTwBQlpXgxwqKqH059G8k6H/F+J3XaoKE31kE5PFdpBu9
Fr8yLnws3GYEK/KiSCJk3r1TLygmBnrBP5uuKtrLBESTK6VuvxXg/fQV/1tvLxo1Al/4RcBotCIs
g6rr7e+UC3kwU2938MKIvGyGtAp8FcJlz064wehDT0hm33dY3vi2A0TVt7XLuweHzNxrWtiwf4qB
z3qsfVC6ihVXxf43r04XFFSk4IxMkz1pkAdntFhDZqFB+Z9la+sUYNuFYOL4iLIWB3WZ0wSBHXTt
aXWuVqF0cLxPBFNpBHTGeOMaof2Ft1bBCM7oYm01UjeCTo2NQJXdu2Nm3ihqk+3aDb2BVTThPMjt
3CqBTOkmKDS9GZOAjeKuHvgAR7P3SQIwCjCmpjROWPV21vzuAGVb3PQ+/vRbFD2sSyJb4RJ/tyrV
UToS1VsM23dd3FO5XOUABQmlrMJYTGsH18ymnt6qZCNbeilMUV7ZCJJb6WrjOarqTT/JZufThPFS
9CR3xqgknZTS5Q0h3F2FGahkzGzrEeT2nikwDlpTCwn76Zz1nfMxhgrTbVpgytb9vrmkHuLXiAT2
YNH/nuH/t60nlk1zEMf06Q3FkARq1Mb3UBm/sxnRQVLYcyuaJn8pEp4d0Cp1st9+ct8Bp9n1tpPl
68avSdmzRXHmdToTHUyQJZk6KC96ijtdPbiChc8WblzUryHX0ffuA3tjLCX/gPeROU26axKa45I3
NPaJ3ZFXATFAdmrZqiWHySpZnZq9u12e1C6DB01CebGuMARgE691OnyrBjjkYolUfbYsZo0NvJp+
S3/iE5MZtxRlNTsPSOIlpR4myGHmbKAof7B/C09cRNJzxm1yndcMNFOSOyebgniaw1IgLez+Llka
268u0Ks80ocgTcxp38IUAElYAdeZjSSQXas/xIPodywZkDlVNUDY49ZS71QxhI9xPzpX5Er+KilL
QRpHrROraeOOV5XQKByt6mIQcV6zXcMlWc6uwEaBe+tczKP7Z4KsnO3YvjADsnUbjxiCoUFYM58e
tNSnaLa6m9lVd1o0bwrUvEs9KudgZS5cAN2xy1NURIhxNVh6fkDTd0FaGUTU5vJPPTgGySqHlYpb
mt13hnUgUFoW7sHG8vuVbSV2BheFk6XDzssn+nN7bDxbv4c2vIrsInnh/SWJXqe7ERGBRxd7ddz6
BmPbSAVP2pKWByIXQ2fFD21Ac8Q7q3P69+zv9I1lmVDMZ7NzSJlBnQWmQQnZPDprj/T9u5rMiWQ3
z8eqBl+qYgaDxixPbmG3P2AMHjbszLn/g2BPHlTt1cjFaWvezIgTWpX6HbuGIBn4/Ob29Gxktvye
tTx5av3G/WYD55/tzjgmHbmpFfM2pm1PDA2mcfjn6wag2ZvGQvZGSxJRrgIf/JQSQ9YlSN/BX7go
Y9hLbHqJgxTMneEXGiiTh6jNW4T/FLz1SGLNI33M4n88lHEBYqYdLf0U5QlfbaJX615bqB9Kg9ox
Nh9+zH1j7ZS9fkJ95mnTp3b6K0SsZEywBmdnDkYKJtv2eYO6+hVh6D2J569h9DMe407zbIo4OyS1
jeWax2nyZjB/vqpJZ62Dp3zaE5ikA8pJWqYpnTyFx8yyifykX3Acxb035RTWFp5zwzoKXpgMMcRF
SUcaSh8sqjYqraCoBjwZA+Ze+ijw9FIpaq5/BhyJLBHMbnPPxstYNUkJdi2NgLR5moDiGWveTqtH
cV9aen92AXYcFefRAyYPDUooHmcu7eMd4BVrT1IweqMl1nyuJQ0ZACZBSpuZjpmDtN2uxZoPhlc2
xjUVA7qTjimQhZdq10MjN2Q/MBO5EU+CBMJIDjJFEmMboo3SDAKIXUbJQAFRZVXMjqChlXKPjVM7
BS0f7Z/UwPeryhAeSJtiZ2hkNm+FaTy5aPvrRDf8ncNpumW/m5+1TNzZfTEHLcF4PJ2ze52aumTe
H8cvAPZ1v2q9YYFChwMObZvIPdDO/IElLRQezRrvWGA7X8KLi5M2OezVCr0/po070cUeZZjzy9h7
xOarHSZTvbXo0HLV0H52IYEoA5w0zY5HKX6XZOpuncgfsODJ88ida58S6dtYg/dCfDzetBBjuEp6
Y/oMEqi4G/C9A3/srPQFLCE7ArIRmJuSpavSnC8NH4h1IUOs4BSCHNpYLgbr+GjnCXJk6HnH1Lav
VSjzDcRcbw9LsjigZfTrOalyvhHjcDQqjDP00KFvNq6brzGzAnwsGlwfFLW8ao754DXhMxCp4S5u
qGh2Q6Y4CbFxkw9Ly9yY3sfsCRPcUHvLI5UAb3c6ARBEec3G4ipLeKFFIw8m19l7GN/oBgxRUDuW
4neGJ/NSQS7Zo/v98uh6svTpFEFd4yZmY2rOWdro+MX3KS3Nb3FTu0Gb5f7Otqz82ehcDi7FTvpQ
pMXRKJ3uhCaAJ8Syx01iiPolk7xQXhuqFWNy7a0aFtUwCpx2OdLJDsCsyIKIFpQFYo+to6TlPtfr
KhiIAeNK7TB5ryqCydDV9eyeY5rmNlby45YnRxmwk9RPneh/V42B1tNG9h60E9IeGPzqyrllr/F/
TUf8BBbb6Wh86lU0Xr0C8zp8+vkBi2W2nTEs3yLfKB5qLhcPg5rENorz6n3KaP2FGjL2J3Dq7Tr2
qcIjKRa+9FAQVvHMUIoiDRuFbz4VGKyX/NciyaZNlZSoBnGpbWQhJB0kdnxIwd4c8tgV90biJFez
aBHK55h2aH8w1R3aQPwrG9gnrxKonljz5YjdwXBO0FmsNxrARs6zuUU1HG0g1JNPQlqOGb6thH2C
bfm/6tC3jlxUol+IhAuBd5GiKGm9x8oPecJvOvvoqbdFCnrVQ1xZpHF19T4TSSFYaybv+NPmG9qG
uY38UNvOjZ/+xi1uPEyjw+YgLLOnMA3jLWsBxvuC/kPTr9xHEvb6Lu5qey08J36gbwI+W2V12VHF
qfxDaLp/LHi8spiZwlvt1zY1dFUGuUOl1lZLw/BI8bAZ1C3PGobnQr/Lsml4R2ZxLqysMKuXXgfR
eLDaGxsD6zHvGMC1cpKPstS+yOjQQtPw/AQtcYwjgAyxaTe3qB4N4hU9sqLkO0O5t6K/3E00jEFN
jsVmFgcYtATmHK1/mMkqos8PXbPJCrcK5gYho0oJ41a+MP6I1AtPOHQqqpg1GNR4y7v4zuFyQJ30
GB7Bzma7oakpTB8Z9RmdUQvYRomHgaKYh9QHzh1hBHgqwuSRpyt3HptZmsevuceq7rJLi+UJyvT4
7BAM2mPeZ/GkZYqdNdfaDXdk+QoZbkKM1sL4rSeAmK78LB2QHdC3Z3w1HFGJJgNXN60TyZj5s6BY
YufFbO9alZtrn5Fz7ad0VbDdmR5Rw9TetokHDvOivVd61/7BXDNBK4rsx7k25kMPkXrN+0axvEh8
UuZAcnpW9KSVo3qlrHxAPmlddIXJ0SA1IZvzsWSDnY/XPlH3uOAVzjjKBUkreQFuMu6cUaLtClY3
j20/VkzMrb3XLbBr69YzBpuhcvL+zOQDeVLMxbOMeQ0cC2B6kjnloaTe8NqkXXOzwlYeY4M/fzRj
FAQnYnm85MZvDhzt0odTq7ZOthSgw5XmDPpHvGJpSlYH+F4/2HQieOVvuy7D7WiH2XumJhKvCZbh
Zydj/2HjvrqjiTz9kH7bX22TpQs6LWZY2WsZJ1Ja3P+vOOH/D3WnUc0C8uK/B3isEgCnf+9//+sn
/Jv/3fubqZu2rbNi+zHAg+j4C97h/WBNgXfgaLdNmyf2v8M7hPs3W+isdwzkWkc4/n844IX1N36G
4/kUZ9mma/zPLPCe81+d5wL6osla2rI5XfklF7jHr8+HpIhwqhv/WPcEfHCpAioMDeuJbox5Q/1A
cRyRZDesmLpdX+fvscxJtcJHfU/cPD+zVACdpX4wWgWGwUtMl8VrGkPZomvXuRh+4YZ0AamYdeIP
kishyf4q5oVFNZBUPoeS7etKLjQvSdPTLloIXz6e2z9z6arXeEY8B2Am1M1xtfGO5zc4wYUUBnpS
BmzyxHFsevHQLUQxa2GLTUbL1YHV0CEClQy/R2jL5YMKmFO1sMnSzAdTxrhbPMkfeJlMaNKBG8UB
Zltpz1AGRW0NjCl8Hsu03uU2HDRnIaIR7GecJeBOUrcmVvlCh5H+HP6A1Doz4tc2S7Z6+JRY4kbZ
LL79KIS44ywstqaFyoa/X15nQap+lS7UNv0H4NYsLDdmX7BuyCjNvVaV0kcWh/vmLwS4fmHBFT9Y
OP0HEQcvBFxctJDj0NS0h/AHJweLbfis/oLMaYwrGFym+kpiH1N+rS9IOvqDmDmihVTXLsw6h8c4
4tMCsisWph2GFBMhyC3Ppg3xLjUMhs3c0s0gZ8zciw5YOM7UP/EPLs+JWYfgb7aaffoD1Ct9vcOg
rHTe3bijAYwcFmNjy4OTIR8k36T0pXnC4DFb6m7Qm6D7JpUlCa9GSGEafo9flTSGd0OB+2MMiE72
ggDEqCKeB4wWF2nL1OZ81l0tIA1EMHr8oQhKi9lj7aaO/dNcDwAe4GBTF9WWbAOrBLuE4Db1hXu2
FkihrZR+P8OmPZkpCEPDwfCIwp095YWtHoE/xcO+FCzSkh8Cooc7BRqijWqhL4jECnNkQreCpy52
45lnm6q8A2X3cBWpm6YW/Ie2WCzgRe+HwWhoPjeXaCEzSnhp55CYSb5gG/0F4KhJy3p3uTifXG3K
9pFoBC9TafhXbjklLAK3wKxb9YDr10XrAXORfsoD3SnZVQcG0Ww6r1sKCVs8jNxjHJC/ydQ3D1rJ
utKbUrjiCXm1qv6oMN0SKSnzDcqZBjysGVF4yqM+dlrgdmG5sSfrpiSyOlGeIPcRbGHtvobgtJdg
cABLtyGB4sZni7ojpIT6F47Q+po7zWPdVH/8pA0BDMJy9Tuakivcv7M13HIs8i4enDV9ocBNhcNG
xunyGz0TfOodl2k6GISQxabG84QtcSREWLYzvAvKblcWVoljQ6/UoJuIuFYODs2fVX5G8nK2S9H1
c+FbxUXTQXo3uPt2maW67l45uLlX1Jc2Hg1lGoH9SBu9jw5zBLO/pzSUYxXFv5DZdX3DaYIhsNRn
5R89OpDjndnx4rBYgdgfILrwh+Qn4ccozQiWy2gOnYYVTwFOGDxXfidmQZ2rkUKyJOHCx0KNVKnb
1k7vLX2LWGgcjKUTsR/wLuYRJnIamcPw2eWlXXfYylZDZcvAw4fSbPDZIFMsTTnbIlVdQF/vfGFw
1h89YG4fngG+ZSWSpj/RK4w3yQ3lXSi8MCDXn/ypWOUr9gg2euWs9ClYQupbwjfDiHvX5Qtv9t17
hXa6r+HL4DKbZbKfSCEGHVgbvH2tC0zDIX5oSj/Z45hq3izRQB5uJjba4RAFeUWqNCNj+KhnRvOm
ZZ08unk91RuRsvBouxrhlkXnHcVrHYljrtFfEXI9d25/P0eQCKWczgpE0FsjopZhbdx3s9Qeu4rO
KYRN+TAlkGidVp9vAkrUjo4u864uzlWiDsR9J/JMJJvIWfXPvm/2QYthXqzT0a0PbGq0K23wenUy
+TTdBiBSNI1zwq+pzTSO1pC9g4xW764m5UuddOWFl1ne53K2PqhIdyRmGn1ki40N4BbF7NjjnsTq
SkRzi3kIn/SAvXTdYnrB+TUX82YIqa+x/O6UTbNFQ0tvw3GkkqOhtRjoLvzdxxnuQ5DN+fwYzkAq
1/hL5auHv387VaO6Qbozjy7Jf4TqbK7WrZOm36BZMcT1HW9SrtnJI2VWfMqW35uGBPNOgWEIyAFN
exLOzi8Y4tPOoeekoucEGZq6AtqNmdAVBdrMOWcXYWfZu0NUGnjcV00dEMB0AnZbwwOILBvGtQaH
zvM8CathinahFVdrUtLZq1Z08zM+YnGmvYfz3cAFe6ws1BP4wqZxiHTzGz8rVCJjkF927NVyC0+u
eh7ZaBKn5+pRbPy6cc9j5aUX4bXAcFrOVvxen2aLpQufa3rF1x/dIGua7FbnkExtPvjyY+A8hawN
pk/bTlFR3nNFNtRhoBLuqRRc3qh3zLuj3jYOuQvZP4+p8d3QZz3vkrDVkIjYCbh+G/12OxUFhYPk
BF8SIXNqLbwM1uCP3LFN8YIiMzwxeQyfIZwUDl3Rp+7Kk3phrdzUrp5dyup/Z2ZGlMssMTPGSboC
ZWi8xykNt/smRRdUdcVOlUN0jMjpeCWbzxkF7s0Po6/FWMZXyzvVGOi2ucBp1GvRnubuR33mfYa8
MRynOryymK1Xeorpz+uGGW2CsshH2fAl2XcQ/U5jkTqPPcrNSms7sUsLn7asOOXSgSzYfhHOvWJo
5Y2ijPUgKs3e1UT16NQg9EKxCyVXhS2GexgZLfc9nUcrofCg4pnyXE5lFhg48mjGM5q7zLXGZ1kB
WXQk/HFJ/TyCRMaisbS1J1xx2xHECtRK4d0PrZ1fG0xbqwRCyasxwRrum7zbNn1RfRcUZ2PCaItt
xHVrP7qF/+aY+XQLDaf87ltBx2rLAm41OM70COi93hPO5GIi2j3NQvE5LjsCNH1cf/hFO59G1Jo/
LjuBdRXat4qI/SnHin8sRG18wSn/Wep5gLQgz7G/n3otOWV5SHaa/PX4Jwz14TyzBaAjmPTzFbMK
BwnKy1feQxgftNY7wfxXuyEfkjtn4h5FYaQfuJTSBjN41wuJQWbABFSQEdK8Vrfjd+7MhBSr+tpR
E4oZDHA6XEuuAyqRuCUQ7fBeQGLrhjOXzmST+oV1y3qBsbHiWC91zWLPLPHMJudJxV++NX1Xhn/D
ItYG0HkIOFMr6T6UVYWPq650I4hr7cSZmHeYckgbAOxEAiinsUjWOlV9XCNoGzu5jhoCEnvag6dP
pv4OscNzj33YEiJzKp/3HtzzHy5ZZbdj72y88JCqd+PAysi1h6X1JK9d1HlP+t+YGQwDbYGnUWv1
eIky291Yczdf9Fa7SCO1H7hMTsfUR3oy9RZbTpP43OYWe5eXpwnor8hoqQpgxf2USSPa5y3zcZHh
2h9UCqapcq6cCGpr1xS5OJHoG3oFTbq++BlnkWukNrlnztdGeWiAFeVV7xk368eyEc2Z76vdwedX
U9DUU38vtRp+Caws7wKvCP2kcopZbENuuOTlcYSx6y6yx5k0JE5OsmHv7Jzzs0lVpL7G4mlfzZIb
ipRUeq24rOZiFUdOeYfdhNh+m7ehs2rtAaC4rJsICuEMnA2zZxW/6jI2TrSbK7amurVUBnPFIL94
KGWWX3tQr9lGtflF9I5770W6BXLWNdnNphiHvr0pMb6iqvPIQ0j3nb1zd/BAu3YrtqI4YvMolrCb
irAbMat7pr+BY1fgY2B7Rtxr8J5ayB9q1eAE3Y4eFC5XlV5g1fbOJ5qxYemMkK6hCa6nFDAwp9Yn
ggctMaIrMYdb8Q4OdI7LX+1iEd2J2v5TGz29YfS7HsY0JASDZq1X8RJIus7l4K96p6I6imDnoz40
GguSBvu4nYUbqYfmOrPkTltGDJTiPS8EPdFlAESuxyUqMfsXf3SMZpsk0vbCGckxL3hyRmT4eOSd
N34Zv/rNgG0vjp5AnsIzz6JnjWvHinEQq0iqbkznBeEE72KKtt7kGH3NBI8Yw8iXFppnaaebIrG9
NdBAng169KFKcYpwhqzsthEb1bnOZh4ouJVlrA6uzFkODgBnbCecYXNQ74o9Ta0l2uAm6UmS0TMN
xilrgjwTGz0bP/O+xrIY7xUr1A2937cZlfluMPNy68T6TP52tnaVGYKRH3wD0ywES9B8wjymBWCK
sPLkDl4FWSZoEtta77qFNb8oYxX54Zl4J5dSbep3I7yhe7q2jJCGGzmZ6MOdR942U83ZwV2SkKjg
9fUasmZy1IiHmla/tzQ3fOkM0b21acHKhTocBpZU4U4bYatVm1n0/T08mzzeOlHlv2RWPn6yoQxP
kMsGG6IZRRCDtN+ioSKYB/EfCLTxA4TG/ZU8OFU04uEwzXlfjbCjeXDor1HRZo9KjypIQo3l6DtN
Zu3RdV3g073XNktMoHqFvPZoLoxqHVi1WqjVHDBylS8k6zGrP0nwmuBDEfAUuGtcOj7WawjYYuoW
GPbCxY46CNnMWAssWwcqPXmes6h/wLTLJuw/+GYl1F9VSb3K83iXO6NDazCPanthcovYjzCXwulW
HojzhbjrbxMBx9v4QXove+KXaOF8gwNOdskP/Dt3W/fZ4+JisRdY8ODhQgr/X9HV/v9VDJm2hzL2
38tv+89m+iw+/16AM/76OX8pcC5iGnxa3XXtf4fk/qXAudbfoC04um7wW/iGpf+HAgc+10N6o6OQ
TyCxib9jUCDOOaav+3C/UN+W//Mv//xr/CcYHP/GegDf8Z/++x/+jv1guzA1/hP6wTCEjyvT5nfR
PQgQ/0WAk4aIhZT4idJe824ullZM2nORB0QvU3LUqnunGjs7FPiQ6eJd8Gn4f7GPyhrOMzTqA/gW
bNt02y7hkNR/Kbl7vImhcK/zrFvPIPLay8Cy+jDlZvoFD8rE2xONh4J/753cRvj2dJ+Hcm0o61uO
M2butu7UleiheLLclG9KouUFXoWK0dBzsieRGcPG83VxXK7/d21tSq6R+LypOMzxbJFecqowfck9
uz02FMa/8IxIL/C2gwQxiNiA35O+rPlqAfRcpanSN46L/G1LT6zNlJGizLxwDW6srnBflxEWGhPQ
akvUxRpltjGh725Nb8wfKSF0Vz2b9mtneP4GhX7jxXa1miCDnrnfVxcTA/5xpJcusBF7rpboraB3
pXzsla4upeKRnbpOQVDMape+e4Nkbd0/ZAXnPxEO9i0ZGy3Z2Vd6XrOrU4/9rh5h6RoN+dFZK3qe
64ItkKjlLcvoErSXm4NqKrjdnZo//dyiBT5J8XZmZbcRMe5XyL0ZdUYKfcMCOhHSK1sUqrI3BXgE
it9yyfJIjdGLogr9bYrD9skPu/C3MVuzu7I8jNcQO6h8W0863rIDS7e8DRIz1t9zn0YRxBIWiCtv
dsePlEIi0mahldwVXh+eEy8fT74Wj9umYsHN3W32kk3Z+T69ztlkrfmMaN5aw2lb4tubSTT2XU5a
emQ52RvsM/WSYEXTlsXZzC0NJcauH7OJ98Wqc33dJhhbRlYLc6ygoo9saCWGE4JIhXodUyoaW8/v
Xt0+TV648kabttYehJNWp7QfxB988DY03RTsW9rVmGzTaBrvhUi/49j7YNkTXqpmxmNCQuckMtPe
dAMm6ZWiRNNYAyPkeem6lX3p+y6lAs8zcHe305ENuHvLK3gimnweSU7FbLii/twDPvlsWhpaJmEN
VKp7BLumSh4IKm5FNIb7UmuxY5iz6dwPvlfeBjVMweQ447GOYvs9NhsHJMPca29uYicvUZXJQyGH
4SP3Hf1zCPHCx0xYm7L1vNNg1u0m8YeNdOz7ZDTqB7MfYfV2Wf/JqrN+sUdc2k3Zme9VX0WHuesh
IoJSdQ2Al1iCrRzldsMPra5Ra/sO870VncyY8BXGjOoG5ZIhBJ7eawhGh0UiPdp7UWPxXNPDKIM0
zEAA0BSDDMFilByXEa0lp8ONTQUPPvpn+PPq+RIyEcbw4sDhOzJPTxumrfISusCrHZWKW4IF8VIV
nbHFWA3ztXcbY4XNgjYnp6J3Q0Kw60E5M0QQUTZ+e85EeMWx64tg40VHOsE5g7wW3q6e8EFNiqxF
mGSBPDwnTVzUOwyoerbmOi/dDYgof0MfCpNxaKb2qTaX+1UHVeIiCOduS5omgy6sOQfZIej2prIK
z1sX4Aa3ynT7BNsKkFqFgoYRiaP43aXFGybK6Ezc7u0Gf9I0RxrAwwxxD2+LQ7qqYS13xhBKAsqK
CY4zMGKs1friu0WuGbl9R+LDauDGroqqjd9HKqcsuislm2W3SF30+Ex07vtUWAp2sGZ6z4bOSCFr
Y3irwcwVxwQdyFkN7IIP2qDbxU7BagGHxQX1KypHUbJqqdy3jt2Et/Uzr7nTl5nALKfl0B7CiYMR
eS2hs6wAjS7Yd+48oS/XZ+Fr7/QqAzeTJRZAEODtOF4cx831PZ7GqiHbrtXXIUvreDuOyhzh9hnY
UlptSJvdhBbHxkbY5SOFSNyoBm9mtOGC1n7pNEtAsewcJ8YbaAv1WMW6dnKbOQ/IdKsG6E2MLJ3W
rGn1CJM0JljZvSckG+x1ThaPSb8bLFIm7RQjzmkOFovWDnGEZxBZI+oAe2ZaaRxRXZyDYSgU8BZH
zJ8GWNkr/tR2R4xnytbsoxBP5FhnD4l0w1dsjO2FRtI/lNc1n3biP1ikC8oVvZCgjsesdIJOpx+9
s7vxY/J6tjtW1zsfFsEqD4KAnA46rbnhKnEzdlNG7z6E0pu9u0iGGtqRlQNvlG4zBH7q8xegd0Ht
ZOYrmngY8gfGnDx9ZqsxnsieRi+6lRR0x2VWu+G2CqweWNrw2/B4qlC7Pqq1k8RQJcApXDTZU06n
flCPCp7lQdMyvvcNX4S3ClXoCdu5PNESJDD6k6Uf12VsldMOObnfhUZkPHeMHheZ20a0kZqeJtvC
KfCZuwtw0v1hT1qtVRCqTYjHtAh/R9oh6leU69w6JDjSqnXo4sxZmz8Yy0YnS0KRa/dOeRF2Qk1v
+QPafZR911oPDYFs63yFVME3Ri1UzLTIuhNnqPGpG2p6ZVdHZvsHovnTXQcRyrTWA4RMBHoQhO/+
wt5se8ahVSz9AaYNWM4apDGRWNZseUFIjzIOexcmhf8SLUhPfYF7WuYYEewbMbfFyswvZgZdc6mD
G35z6KoboSimNiQI9dL3FvDQOTHLD02W1QEvBIIuLfLmI3A4rydDJrWvol7Qo/QbNAQT4d5DhAbd
bQUsNLLP5IdZqvU//NIflmmalCDZU5HrbypvkB4AIf5244V7ahCnW9iFg/tA11pMK9OAYNH0KR5h
JUt5RycQqSD1w1G1IpCqIdaGpX8xvh9+YKvYyYABDAlNNnP2xXvFtDOPXvUytIqnQA/P2LKM+UE2
MbxNCdYAjGu98P5lhUKquUv/mag1/aVKl/TL3Fnumf5ocBNj6LrRXv1QYl12TtNWdg5tI2Fsq9uS
Cufj6Yo2WQsZh29AvIhi+iOIvyTjVQVSWL107ejcqyHxN1mV8L6nTdHeYSSaL/MPw1b3rPahM8iI
DV4I31YtqFvnh3o7LADcZAmwgyIBPWnxhGN7Zk/uXkshoBsAgwFuAEXeprNO4OGHowu/P705P3Rd
QsTi81/ZO5PeyJFsS/+VQi961UyQRtJI4nW/hTt9dg0hKRQKbQhJoeA8D0by1/dHZVRWSpkV2bV4
jS6ggUIlclC4i4PZtXvP+Q5uh/KePEQU6gj09UvZjFwRL0trEOIjV6iyqnhvjKH7lBI8+wKSjYU+
RNF5j69XKZ77CS255YQvnA7R0me9d4/hjXxbMqxY/Dpxmc5mcpG94YI1G3JwohJ7z05bpZwZF6pw
njCj2pVJ650DqCGn8Y0+zJAFEnEcR+2jAgGFjqtoze9Z5eWvAdKgox1o4TMzgGlah+3snelDX0au
qR+mN/Dx/z80/h+xC5lNw9D7yaExzp9eoqfsT/GFv/7wj9Oj94sOe5aQFU9Yrm4tTMQfp0ebcyVE
QxZs0zIcb/k3P/iFpvmLwP1nIuEg6orOPwfLHwRDDpZQmhf9Bo+r8/avPhwXf3Z8FCZ/0rvjI7oS
YmbRPKEUAUJmGe/1G8JhXMQ8CnJYEBR+7LRg/8AAU7YjAnjhiQS3rEfevaptdyc1hSPRAoHpqCQ4
4DwV39jGiz2bjvAh8VyRTpXvLDRtjzj2sc+RR8p4pUvrl5oZPo3zuoU1PIWX+CrHG5iv2rbsizBa
IadtvsGRnXZj1Do3TBxitaH/Yr0EmCOJSrNktB20fDt5/QX2+AzNOaaNXsnuUM8hDliQNJNRgNWo
PHhjNP8rL+wf8Hp731JN9iRvRlOwa7Sg35qFYbrrLMnGb0v81yMksf44t4nwbTl2uxmqyh65y7RD
eklMyVj3PtGKuIxi9wrJhNpMMAH2ZaQbGDV6Sq/aohxien+tJNQ2LxkjYwUBDghzBgl5BbW/+jwA
qHglqFBedLpmHmu3v5tb3UPV0rrXplNbS5jIEHNVy4C1PEZdj0G5aZxNELVsLFOeDLioJrKaSpE+
tIxdjhxgu2ORipcmyAGEpXF8jiP817HjtrcZVgU0ry3GKDpRpFKkTgzLCOYfYaOMkOLWOocIU5+r
kUUUlKytfR8m2V3klDQPJTvTBTec39PuwGXXeF1s3bpUtAPQ4LpoChj0cATV3e+jRXubOg7TZMYk
4VinFeN01k1GH7Bj5gygYmwySeGBt7hQWnFr5SJhoEkPE9qi/oCnlA1VZvXew0zlV3TVl2N3u68E
fFtlErXuhgtOJiSxfRjsoQLfaCYnWwvuXUps30YvjXJ3yZlp2cW6OTK/jpzB9r1wAfFZTr5Q+zCJ
NS7TfIkGdtUIlSMmbrEWOMIX1FSb3I5eGS4GVG5FZV8axpAcejS73HT9XHV6flbl7H1DkBB+HqFG
9yu6svfTKLKjGwXyjoQzHAbj6NWceLV+rSpdfKK7QfSb5mkQDEoLf6PV9NW3Fh2nt3DIjD6stn2V
iMvZhN2SKDkivsmIOpCCpzYmxvczWfOi9sFbzlBruWZeYui+1hT942xH5Ulz3eqGmtk5Iat2t5Mi
UtQcmQBbC1KG3mg1Oc59WqEKprAjaVRDINNMia/sNNrh6is+G4A4LyN+u25tM3ve6AFujCVWJbzE
JhFem7Nh0Z0xl0EYrVqidFSj71pT0dgO9GndY3xYOwCnXlwGiB6tVa3eA3u0trgkXDyi6fXcly+t
MR4BTBDtrCtf6B25MKW6yAfIBy6zD9SZ8o6BlB8ahThUDCnTtYik9hfEVHNZ1X7PS2XVQ+7MOm3Y
0Fstd2mq/U61BuHMQZHKcsBhQkSrwS5p1VZQ8SIex6I6U+KLtcpBKbbFQ4YnLNqUNflGFo4e/CsB
EMOOGNDvQR71fhEV2ckbFipYjNrgXIZm8VDWNPRbR8UmjezIyjcdBOUlxmdOb7y39xmeP++2idHN
OhS8F/KAPs08KnsC1qMG0yo22PbSx99tUz8aiL9vGDpLpte7391AJWGx85iwrSWbz4cVf9I6Golp
qO8MO2T0Rjxhnpq3mjs+6os5zyjTfm3DEiUXk0iVtcY9BqE2VjwNTYXTVgPnbBDnQTY4x91gpIS1
ld8k2fBKpRjeRfk4HRzY4xaVX23O8JZF3zy6bbctUc/v7AL9Ntm86zSNX+p6LNc8WzkQERe/qO7V
fjZl/YKBi44CJTGy3XTALdfAUy3I85BrPdU7mAGpWAcKSNgg4UyQqpJf947yHkskOo/ToA9bJfGO
itzsLwktrC+zEApGpIwcyr5yHkqtCQ4yN4PrKY+HG/7W2TZzHz8khLIfx0ER2ul1ZMLm0t6pvpp3
pVTMDjEFEhGCBAggdxdsQ3JUbqdMI02LMDxyc1qwA2aSRtvU8oxdo2yJPR1vSGamPRMF1shN0wbN
fSdgvoZox+8p8T2/5ojzXepe6Mddmp4wFLSrsbKTE4c2wN19K+x7rbPFlTe72q3ZKjJRAo/4y9nV
y1dge+O9RLZ1bztlcQ00tbl2saUedRDue9OwonNQ682ezuUhx+7bDRFZICUZQzUm0A5boEGDTCn1
aVR5eonhFX1mlBlEklp0ZbOpB5Ey1c1tLzKy6sVMoQsq99liCnVXBlbprYPsc9Ql0BK72ca12rVz
/pjrJBrNqDDPc9MBcora8VSErjznWOrROmXx2bHB1K4ashm3jZFMS5SLG631ZqhgiKvgij5C9UnS
1GaYbITT3ib7w7cRpGyaRvU4zeb0miyg8kIiF/Uj5NzLoLc6YjfDE7+sIlkdUK44B0AcWGyLK1gE
t4jMVrXK8p0WThdjK7UdJkiFoxT/ycRS1S5rVihZvYJlHTNDI0LFrWnf3WWFG5a1LiO7u1SNWFlM
PFcMp+zd/LYw9m+LJCuFBXKElbNZ1lC3iVhnCA2aWQgivcMlwHqLbKr4PC5rcCOs8ViokjW3Epg/
i2CAmqQmVnT40TeDU5enWTf6R5vmll9mjsPhvBHoK5eNIVn2COx1BDJkBso7BOoj6UxprO0dGkQx
Mv9lC9K9iha5p00dvUOjdu4mvbSv2iqzAh+LsveNnhnEUrc0UnvX6m5z1AYS4dtln+xBCPjoQ9hB
iyp0n1WV2GwVPNMm+1RcnfAyDKyhQIb2ZZCqXQCBIPabty191hnWh7ARSD6x42FroAXA3txyi5y3
qmFaCgiNSmJeSgr3rbhAXQYppXdsP1rqDp3yMfCieg3DdQnXylx3A1hkPOWZAa/M08ZDYOOXwTOT
o06CwT8gFTgkfS8IcyFPxDcGz1oXY9kTv5ul6YUt2uRgdmV3kYS5+BKVoG87ZFk3xWQA/2/aqN3S
avde67kS1yM9vZch64fruJ3izxrSktuAZlLrh3rvHFADapBOYLAwMrZiDpueQo8IjOhSama/byBL
XVDTIXVRlmAWyw5lXxNRGB2roMovu37w4lWlnOaZSfSDTv/TB2i5NLZwYIPdcY2dyyn6zgn5xRNO
DYdGI1SMHCM53IUefSwwALYJU9HSru2ZJFsHr/RtnpTymiAYex07bF2cO8u7Ct9CjFYEBKupxdDB
clB0WK4HF+SiUfXrzBuT9kJWRbiRgyKcIY3159Gb+xcCqSquMZo/xEa8aFvigdE1SrpdeOfROnyZ
6GDv0oQrToKPjI+oQ+g3Na529OpB7SEdjcfEoQHHSLrx/KqWIQpXTf9qjOQkkgBwh+oSyUCpYenC
J3LEYoRPXVmu/BRNIn1MTJgy5ETZ5sps8u45pJf0WPVdu9EdK9sQrhfs+E+edTIMN4v6YtMR4ngS
lcfDT9RDxlaux5+0enH2mVnZroA3kHGtiKa7XsjLQZog6ZZIp8qKEIVkftWFRu+zK4GGsyaa5MWi
lSR1vCPWyhT6Q9mm1pFIw/4CgwRaUYNusorhWpSJMx8cQcY8snX81i4F+4bxDGBrTx493fqOQu15
GoGzsIGRleUFZXEA+OPytiMkWRVJHd7Q+Z92rDwU1kGq3ydgfiDe5feGVYkHqzb6/dBn1RfYjskX
4rCbV3Tx6Fy1BFRPNz+iUSX7BwQjczJbHmyrvBBSXSV0sCn6RxKs4Cxt8HDPJL1n6KY3+gBuiv4x
OHPEJ1Z1cGXHvhtAEqanZ+7nrko2BsbXr7HGc6rPljiNSuv9KpLBC0IqaxdKN1GAqpayfi5GCuUR
scYYWd/6Pgp2nlVrW4m6jJySPD6hTgunU19o5Q02JHEXcX4Z1yTZd69DyiBwbaatey7qgtVmCM3k
Fn8pg4l5cXUm+Pa3DsA0Rh6McrykAvutBbaMfcdrJH8qEDnCmkHqOlVDwnAB+dFt+d2HLDio3k1O
C8huwZIwb8PYn20sjiNXqSRcGJzzvIGy1uJvmEcOTibyAY3+7uh5YheTkw54PnMecirBGMnM5F0A
CJ/QmANEMI3eeYzq2NjBsUtWAUzTHlTuxFvbTLrkGBoRS0e+I5bI9ivTuYvZ0b8v/YvNYATGUzdo
zhUTW7bH6q7F2UNLDh/QjQibKcfLGc/fEmZKKzNy7/OuoKju2dtnURhkXjRq5+o1WM3IHHf6glUF
SqHf4/2DKYgtKEKmivk/phcIEkdUnyonyNHAMrLWMH+53R3tiflOVn1FnIaO28lwbGI5I+aGuBUI
1ylKcYH+DAnhwnxghCTw/8ed9IGDuMXOczztFteIeW0ahfpupc9Bi8NcVSP+53COJFCiydoToEJZ
pBUXOcQaS69h5rYZSOIiS3ZwK4kmGgVnjLHV/Nz+Bu82S7ZeWTALQfOOd8xzDL9iJtkp2sgUhKdO
4FPS+wc3fSznmykChA3af1UXIvme2OFlmuYFkpZK/+TYQf2V54vNi8HSlcI0csqionoATMU8IM7o
QuAf1oAt8EZ/ne1WfSYI0fwa6Kn9RTJIWnd6ax1a2uRHdoKIDOxAW6OjBI0SZAAStZaiIgkPXZPQ
XnRiiF9jH31ikitvQDlOS9jCjKc2zA/kUgfrOSEe0ylSOwMyhxGR/dQZH2j7oZks8BCuye+J9qAt
czCmU72xaO8yQPbGW0Ho345UORi6KC63I1iuvVXaHGQjKtkpC6bNEBvjnhpSRw1UupIGs6kH13ZW
VAcSB8ZtmPXWJgXI9rmJqfzggdho/HvI/lbj7cMsixzmh5NBlrsO3dXOEcyEqJsG1GkP9TAtE9Qx
DNewv+Gys4iu2lKbt8Oy4eKJZBhnpJ8zbaqOqdX2O/RtFGQpmAnYipz5LWndYWtoN3NflSiZMGis
GM5Ui67GEesu0xQxrm3KG5gWOgv2DMFmLXveLL5Kue68nJ8YupwggKAw76cibhlBL9CysDD3UcoK
EZh567ednHhV4nxfCLrcHbbMleGmwHwTZJG+UrVahymszT5lPGwEwUXB3KLwomebxkySEhFY8hNR
cGpyhk0iRYXdlxFdfFgYkaOAXdvzdKTDV/iUDzecy9fCyxTXNh8xHJMsdBEtqKlcDY5Pn2DexKMN
3VnE0GRRSGanyLUdLkFgHFRTGt+Y4CYUDG3xPQrQ4UvlxmSiTgRzaYFRrcyAKXkBpOWbyMr0axFb
TQYuSwQ3YF88HEAyu+as0p0sIBoHBHJ0lpjrmvcJNnkS0uPqay4XVlCVlScMIgnnvyrZV4xe9oA+
s501NPW5wK27b8ERV3i+wRY4GEUtb2Yomhg73jDzc8dx7brTEG0WTHI3cU7vI0L+YOhIsbskPZXC
Po7tfnK5nkT2fEUlsmZw6N6IYvBokDvJvdQz61CnWXZ24tbtaUPa0OEhq5hS9aufn4XFnx2FsWm7
TIt1jyAQsmV+3wZQSSGCwDIhDkxTu0FQK1+acAAYU9uF62EW5vwLiie8C2WB6rZhvISsMao04AXp
9CxBvTYYGexoM8XJbKzCpV9JTwdoY4+nCbJqNFtYnd46nDpmIVAPIw3CqZTuMcZbhFedE6K2/i/p
2v8bWSgNm2Hh727ukmv0I4Xo8il//V//7fiU5/3f/vtTXv3H305PbUS24jtB168//6MlT3AQjmKL
+sYgx5yu928teSyVi/+X5CDJX6TLA/H3lrz9i2F6NmlCtN898dat/3tLXvwiHCkMWvmWqROQYfwr
ii5LLrFB/2hOacwOGRzpjr08rb9rSpGdHBo9TWTCDpggAkVSeIl1yIz0DIbLykpluVkg4fHK0HBH
r/rWSjdM3+vTNEKcLMOw3pLSYV/KAtCRPgGczTDu77MFWq4tYaXrSgvJgu1BZ/oUikzmAzyNddlN
hxwzzCpjrPUFTki7czikbtpaj/ZMBusr+F7pl7AJGAY4MB/zpV4iRy89eSEwO8KSKUKWuiovouZI
OwXAo+HFT+5Sf5FE6cQkLy5lWbtUaO5Sq6VL1TZAnVuVb6WcWqq68q3Ac1zDPc99iNwEIUn3Gr4V
g3QlxV23VIjdVMfTiaS0+DRBZT5XYtS2gVsGu4ny0krmGUK1pORELUQJnopUAb+G41wu1SmIl4Hh
NRVrnQyVD5Nk/srQPNnQPzD3xlLjEtg8kZqEKPDUhi2qY+/XqrjP9WVemIPtaiwSXuF+r0pNBScb
Nf+zhX6HtkelkaOJpyB5q8GXarxMivQLfY7qSxgTmaEvVTuBpqOz1m2csvFS3c+L7Q1yUdy89GZP
ul6PmHxHGZzqK9qF9kGBWi9XIOu0O03LnfFithyGJXNPjiMN2XmfobtbahatOUlUsk9aFaewRqzB
W2t5121iPdP9YE74U+IKOikOlKbbIJfR9kv+8YbZruHPGexYYiB03yRxkbzNuBc3tKHz77XiLvii
Mat7jK9sY65XV+FnmoMu+KZBIImZJRbNdabnzJKt1A2vcumYBy+vo2tbUFoa5OISZ12VSnDZmhLt
SR9N10EYwFSnf4gFquag3fAVn3qcwzQZNXR9ZLZDNXC0bqSeQo1MLCtyFE75zSGytGmbR0bwfaok
36lFuYYUyACRszZ4VKINWW7ixpFt8MR6nLr0qjX+bzQEfb0YJTdJ6R6FeA1NMYi71tdpin0qhSDf
B5gy+KZ+RncikPncxGTdfUdOSGh3UFaMgGKUDjbp9SQGNU3HVqVmThVk3vSwQlxN/0bvaHqaOb9+
NvlY2y81w/yu0xfglQ7tEpAXWmxYw6ara7w/bRVg1gQTQD+8cE0/o2JxCTIWZemPAyEIng3afys0
x7Wuoxgps8/GHAJxTka59Or7KNqg7rFvMQCkamVWGiCGzm5J9kyM2l3Ay73+qqa6PGhdbEB0y+cQ
Tx6pfosuI7CPxkRmN00kz7vJxvFF4D88kB5tv1jFnO11xis3Y2jTH19ysWfSR665KHRVDLca7wnZ
Dp/YTeEHS2gr1RR09LXgvpAj1mFBST3BTKrN+V3nCKwa5Q/3aUTedaKMZWe1pyYelrwYArAVvdg9
40Fa1KJC8jiQXdMIOlP+2GlM4Z04eo7nRD2HAdwuWQfTkgaqruOi1Y7dZOfXQEORFoSNtnhejMl6
1IAocop3TOi4ORaLc8ZNQkNWgvUNEkg4kQ4PKjFQl1gemc9ptaE2lud54Jzh9lB4YzgcZ6BT9qNr
hQCniqWPQooKs7Fu8fBVDmsPSo90WBupgbhqoAg8IMYqj0juKljdVAyx3zkiOCeJM+4nCf4/auiT
AmBzg7PdGkRQNJoOwQy3W0voTtbpT8ybvM/S7OGOtq13U87Zp6koqFLHsVrBWiy2tgbFfDXafXUn
7cE75VVG2JJlxS+lILq1pyDlVN/rOzyNGdRuM97YLZk75lymexFrtp+BesAuUyufV73ZlMuaXhCQ
4NcdvhMJVP1rFrYZJ2TgjDubkRySvyy+1Fj3LnJdGldeqzX06oLBBzfZ3tis89d1OBCkQZI4IeJ9
Wu/AeljXsrfSO6PVolcDDxcDpTgdNr0rvNMMzGeve3q8BymudoUVakf6NugmlChKjoLMYv1K5clF
aJOtuSFcaX4ONaD3CWG/Nzm16wE91CfoZdhTWC3RzSKxEl/Zt71T2aSc1217kp9mnSEhrmcFf8fT
86PbtVMBTKMbaa+U0fckScMbzl3BnaiQC/N20KcJVcsZu22gJ6N7eVIg2b9w/MD+o8/kz8RTvsd/
gLrWKwwNn6DDSDcmWedTPprOOWtmCbd/Vueh0SxUwGBwMCgbwTEMYYDNeqgQFsXxNoywZGMxDpEz
Gx3RpFqS3dhOm29iQl9BllZR80r7K44uhTPMTzCjDSaeSIYFYWulvU7McTxjLQzX4RSgtkNOc8ZR
P3wVbZhsmfKg52EX2w1eXi5rvBtVnOmCdA3moWB4a1aXsyuhIcxeLV7NoSxQmLD8orOj0a+787yq
e7d9CWbQSCTsiu2gau04u3P/mtOzXFjjwy2pY2G1ciw73Zk0LY8gjtIn+CnA3QpPhFchjky67QTB
bGvbNtchmPZD31sWu0Hl9CdHGcZpyJkTepre43dJ4h3IP1Y6jZ85xEbIqK0OxuvEjeQOrGtybKVb
czW7+nOgCsIf2E7Ak05g3MeyvVF2w/jUDZy7NvFIhxkUnSziHnyXlssJEv0lA/0CM7wGDnEGs4Bn
Uzpnj331+b+kQP+nXoz/F9M+peVRsP5zxczptXnK3rssfv2R31wWJugoXBHo+Xi4jH/oZKxfQIy4
LkuILX5YKX4U5cR5OrqLdsZij3TAnHBG+FGUu78g2oSyhsuCP2uhpPwrRbmQH7M+wVdKGCu60NHw
mKb8UJx7PbyHNDXwDAQAdUg04ohHWlu8pl/an4sEhBVdEXGSrKh7PTe7A4VzSghc7lWc9rXui6Us
nZMx3aEHWXHqW+t6UR4gmUow/G7qOuzgXQHFanCv9KiT7mGQUsUkzdTlizXb/aklXqE59hwkm3VP
NjXhXuB/AObTTEuxUWGSXrUxCQF+glfFj0jl+oaMwc5pMrjSJCkiaRTBw8SK4GYdx+IE6NT5jJA7
SQnziMazPevBaW7rpkfPoMsv9azEl8AR7h2JKOoKdQBj4GHGFC0LPTySsQeMLk4j0AuUPR5cLjyV
baEAVWaazlxssAprOEJO5DihOD+wk0yRuNUh4NtbUM5xhoJmhq9KSCRqYGXrTkEiejQGV5GDon5j
R3OPHY9kswxTicrUlRywS52FtOD4iYBWB3GmKbJcum7jsGJk3ejrOMkrStaxPItei5kMxFNzLqdE
t1HtMHBfS5A7RLBA671VMzNimv4ijrZdN2YdDayOiSwpnihtparSl5S+WkUh1GdkcrUpHwB+3n3Q
4za5Spe4Yu6Mdae7yQAJgUokKCfvWoDX6FaxlzTjpm318rMwTdaUOQGjvJMhdsWqGfUQBWMzYm9J
nU9prcsXfSRnc9PTLEBq1Y9cGjd06cyrhKCc3m7Fl7qP+y9uaFuMuJEEu7hvEOiTSuDUpyTv0dYQ
KIOo0q1pvlcdh8UlSxu6LtCAEX0Dn0BsiT7km743zRtku+XeDuv4U5sTOrMaQG28GHrEjKqOxORA
exXqkvF+xGnPzPyQo8mrVUTob4PZRrMRDN7IJQhm72ANWkKAqR2LwGcaTzhHYcjH2uFMs8qlDo5R
zV4+MsOzKmurGCTb+wlSe4Cjma6iDx94BgQ+oHevUYU1K2K32mMLVCP1KYaBJ9YuitGVXjX9d2nM
I/Hss10EABcrChJkuOhRhLsENxImzF5HaPsnQjxpnFcTMSnpyC+2UpGHzwCHN3GeocDrWMMT/7aE
reoHN9f0dRHYENBklpTE2SgrIveDNzq/BXHr+q3T0yxcwUsXmli1VpPcVwAbM6fngNI3CuwIxUZ1
0kUN1teR+wzsIFUNcWH3hVD6ziqmeePE1nwOvTY7TdEgthAvg3odp8pRFxMQIlLyQGPeN4o5Du7z
vWEPxLt7JoOXowXk9jaMkk2XtZg4k8BoZ6b6PCk1/usLvV+ynDoIcooPQHsCiV6Lq2cTv8FZDExB
12jpAR4QsphO93RDUKzW0zToOFSA3KVb6kRONMTPJIwk8ySNnwOC325UX8jnNFM1Ex/22OigaMDP
V3GaGdPa4JXpt55dMZ5WbjjiXkA+YboHydhwhrfaT/OFpmnJfTd1DjR/E/zTtsf7j2HfjkSPfreb
WOZXQRu52iJWY8JGc+OpHKsT9JqEEyzF/wSDQudNWld2T6vctvltV//DrrxJ76senUg+VtetGLqd
UWFV+b+7b2PreykrTjFh1P3nv1P7DXUqrbB/vrmfn9I2evqmXl+rd223X3/uxw5v/WKIpc52pGm4
Jgqk39puAo2sQcvNcm1M5u4iWfr7Dm+ww9sEdpsOJ0dPWnyNf+zw8s38SDsOdxzamH9lh/8gCZMe
qeAOqH+d4HDhUjgsoLPfdd/sUgVRY5J2JRUhlHm745yencO8eYT0zgnS0fFbwRBKmn4XgAOlR67f
o/nTz2U7PJgq+dpXDULyeVGwDv2+q7vrhJM1WRLG4o3TYuJcWmvd2NlD5y40Wi99gKPF+z0dTU/S
0uiXiEESiYRKrn53N/5E9fVe5fv2y7kmYjcd8iuJ6NaHXw6Mb0RQRmlBqkh8gxcvDb5DWL3WpbP+
1z7J4k7aEkw76Dm6q57z/jKGWmM4A6otvzVoNMFGI4QUEkXpG0Tm/vyjzEWl949GKeo1azlCLX8B
f2dJ8SF/ncOzyjVOHj6RkC9OUDsIEIsvHRkS2LOMQzCU4TqTA1SZWla+M5AKqksLCDpB2XhdFJm3
fbWzYtgPaCiKIr/QbDH7tt08hJo6ldJ5EpFvsaahCy6fmzGfoN7SeR2L+jxZIQcZVMrbwNQ53sNk
MFGMrLsBXpKlx8QIB9OTHOavdR0/mrVDGyQFlPLza2Asd+7DNSBMAu6eJAPYxlL8/noHBE8Ok6l5
fum6u4iZm5GP9bqKAO7TEPXKhyqXnBAJOINwRUIkvo8h/5Zx9v75F3n7oPdfxDGQFpo4pS1AfsaH
LzJF4xjmIaOQrKPKIRqF7ofmPLhhu+AxshcgTycroX2QZaemh7xDSiJxYM6ONlVGLq/4BDTrdtE2
4AXd0V55mpPwMZ8AhWT2zV982T9U8xAQWYQQ2iy2bhaX91etILVMS/EpbnR9ZtrF+MzR1Z016Le1
Ji9ow961fXlIPLmfcffHtX6P2RW0qoWKnN56MyM7NIhbYOq1nrMI/B7a3woExM+/5x/uroODHA4U
w1heJUwEH3SqVGWOjGNH84c4u4V8VG9pOiika+OVWg4EQYvOPFE4jCXeMfg+j0M9E/5LHgDl2c+/
zHJNfn+DP3wXd7mmv1sgUSQZWeYA4giIVB4rUt1gT8DkwEssdu1fftzbmvTx8/DWI9PlTkG//PBA
OeZimUP47Jsd5S8iaYZnHdEUOa7Yybo1woxo3ykv/aHUQFbnTnwto+nAIevRmRgSJ+BFNqHKM9oN
xcNC0A9byHRJezeTT3FCVkxgKMYbJH7xJ48K2qeEWWnmfKYZROKspC1NvDYRP8QWECtsbAATnTjB
0gMqSPmzrPqc1Vq4DehhrCoPlHEHG4dsAXrhdg6eUjShuenM+frnN+L9Ys5siIdCCgZN7FWGg83h
/Y2AvpMR5cKNYIqxma0QYP/lmLh+ml/8/IPEH18TBmHMu2gQ8UFQRt9/kj1j8KAWBnacOHg009fC
NhAPQBKEfmL2vtdGX5JR3Vr1fOj66cacxNfAzZfOWvDYBHhn7fZb6MyrQk/3Tcb8pmsuxjLb/fx7
Wn98NN9/zw+Hcz3wMKJVMMOCWS4h8qS1OniVk/whYIMG0jLg8auGGJ1JRNjWWFw0IyEMbkXQ/IwD
vlSzdgldFyrkWJt7Ok3DRdM2uQ83Pt0zCw52YS2t40xf+x7LaUkaVHc5lBw2rKoHsdhh0NYEoUKF
xwdLfWCKMk+4pGtLrDQ1QdSrCczEIdPT1Cy/jF3yFEQV1phKTY+ENN4LOm4+7MDhe84MgK542GyD
vg5PwAvmbRpl9z+/Zn98iKh2EN9QWjG1ZAd5f2vTzqPcMAvPD+0AhT+pl92wjk1nF1Ri+/OPMv7s
s6g5HHPp36C4/7BPj4lOILdZej5BUOax7+cv2BTMU9VgbUWQbREdhiG8mC7a8HvooDAoTRQKwmOD
VR1pNPNkSG6K3Vwb3vQXX+79sHV5mRx8wLy1THR5mz6WfVkyAFrEkeAneXaccFra2mmuP//FFfhY
qSw+Lp0uFP4Ww6Ej9eEKNCINe0i5IXOYaEkCpfNPkpAf2JiN4mhpKvQ3Kqyqp6y2Pydq+mQT8MYc
jBOOVYDwmfOKeUBcbJx2vGbCE50zrUOQAJj1LwqKP/um0rXYFHksGNJ+WFw6Wt4ZIc2B78qSVSVm
SJsQ4xPR9wmZ/8CkdbY6TSIXVe3PL9Iitni33uMZEgxmpWOzK9Pxff9Eotbt5jIsAx+9zH2gHJYY
WrheCS5J3GBJX8d5/RcfafzZZ0oDFx3NS/YZ+8N98fKJuNXUxlBTBzvO81iw4mo8VvQbfRFT2uf9
SwQRkECqpySWT2IW8LK0544j3jrSyvLSHYvvCWNOo3ToOt39/JJYf1iAXUEx7VHgOnj+qNzfX5NR
qw0UX50GEL73mTRAwgq2QcLrAlWAvIR0xgfHQ6RGgbYtOvazfGzLZtwCMP3aoFteISi7oRP1Hbjy
NieTNRw4QGtpfI1TbVehDVvZJdK0qnyR7LdY7sPtwECF8LJ0N1eWOmL/BXSEzHka+3qb2u3rlOt3
/WR9JenDZ2qyHZp0a4W44gYTzO/Pr4Cz7PLvngpXSI4tDkUu7w7G6vdXoIgRFLpG5PjAIe5Ebn9i
5rB3CnIkq2rMUCrDCWjt6KIawwyMHv+kJESombJ204XtTdeoGzo0bAYajpM4tSA5NWzwDgwZjNcO
6mM/9xjCGmZzDtsFXTaxeNdQShsljcUbQ76kpXzmI0/I0gvyItzbwYTdIuILIzT9NEOJDTxmSIBA
KJ2uGf2Ob9GiLehFfdn0sT/wRQ09B+0ynsckOacZk3lkmE9D1/maaYZELqld18kLwCK7mjPIZoTX
tsKeP5O4zXB+NGvSaXVjRagdirV8hAqYwiSz2rU5krzHv0JvVr2Q+nhVZg/ODBine/2LW/GHOwFe
l0O6w9FuUc98WBl6WQSFAzPDN8W6JurW2Q/lvkZSTo7J2yctU4uPlKPf2iG/ulZ/+9v/vCtz/vc/
30063oyu//hP/p0aKPRPKFr+eQPl4ulbND397bp5+vbaRu96KL/+6K89FFf8QouEYy+ID51euMvr
8BuLSjfMpVx2OS8Yy1n4RwtFyF/e5iksI4sl1lmO5D9aKML4hR1JsPexC761Xv6VFgrgqY+FGH4y
KVGmsGpRmP5v7s5jSXIkTdKv0i+AFnBydTh3j/Dg7AIJkmngxAwG9vTzeVX3bFevzIiMyO5h91Zd
1ZniEQ4Y+VX1U+eKpP/XO0IGr3paikVtr/lFd21Kke7IH6YXBn9MS7zeeg07EeL7xMRxzpyZ0kby
drBHxwxTt2tnF0nVcMcNZ3Z/2CKjp6XuI4ybjbChvteYx18Em8SMP6oJX7hA2ox2bXs9UXUKEbZ8
6OA6PAceMmif6uHS1uYL5TIT60U9PoFtowN4qesfDVDrIuGo720Gy0d/WdKDFJW+o3KkVCuwXQTT
VNlXgHxTY4l7e4ZhSFiJ6XBfLydGSKMZSx3O95FOBjAlGYUJKB3dQz3RVPUwRJidDn66VI8tkulA
8ZgcHiurgRsC2Zrq1wirI9N9106Hgy3KoVs5Q9L+GEaowfV0NZQdp2LSeobJGEWwNm0aMmbSI/J+
nov2x5Vuk9E9PhXDC2300U+zLNMXjYWNtbepXyNzGDBxF/lo+NssiiQNlT4e1IsXBvV4XAxv+N0D
42GfRzD4KG1tPTW+Tf8mR/d7253JveX5IUUOQ4U30tbcAdXyv5hvusPB8Rl0rrpEdmJVpj4lnenU
Mj0b6NW26AGgpNhCyGE9NZ9c1WTv4EvEj+4M+T2ZKrjlvjYHcJy6nnzzKNzYq9rxxOGp39VsJiG9
07La8Vuhd6/34ITQzjjQYJy1rD0Dli5h9eLslEZVfCw8HA/AwQzm3mZtHg1MtFiMSlzDi4gog0tm
Eua092Vxq3EnkagD/OMw3Pdcun/B347BH9h4KO/Ft654WhjxFGTxqgatPBP5I/FFsSKGXUDW5ufW
YeLHubFYKS6Lqfk0mylBe9POb1FW4SspXx5yC3Sp85G2gY/lirJJFIIv2m1xdInB2OeTJ9Y4BbKd
mS99uu6rKDv5ffVwVbqnVS3TM1YF7/46wHiXssxo4syUvwESne66Pgi/ZQXzCm++Ub6hIWkMb7ZH
mI/C5ElwcKR6jUKvOi3+SLqHdPOWeXtUtWPsgpBY5mrG0HEGLgVGtq4fyGuYm6yxXKYveW+vEFSe
Stcd3qUbYPhtB553ZqIe9XdU/4RbDHehszeTavkEi6bTV202KWTEKcUZXKd+ThAa7Wk8mJgJSUdq
6sEQ8sysPlh2SH4IQ2D6psZs4nxhib7ZNkCWpnM3c/5Yp8XVhg1Z3Um3OB/tjuPWaF0AwVJx2PrS
f3dgVZHKCUVgJLuk0u4rcI3OuPVclcotGK1UbzF6WR4uKQXQmuktrc3jPM3mOp/4oleE+72Cd90W
9XTrdoHQN8TuSJ1ZXW4Chov4fz2k4VhgSgqYF75C/6/DlRnQErBNoDM3cTbCKIjrOVp4yvAw7aGv
9E9mTiFzSANb91ioZg43mdFTIzQO1HkPJI54sRkqAgKiPelF8kHt2G3y4lc59pFEYU5ku2qLDneS
oFeWUKm5wOJWoYHYCS0Lh021lL8lLTYxxu2RQt+8LdSBJxPXIy3mHB0i6d7LIatv69rzfnxjqu09
09ooO2rXk19OVEoAQGnRXbkt6KYZ/4lFYrKfawyuz52LQwo3ieVusaGJvWe2HSfeECt74GXw5RaQ
hDYXGKAEKzz8QGJZIAMV00PZNTE/YrW2shb3SZFiP+XOXTCVzWs5vg+Y226GwqtfG2BBCJveON/q
0S6OtXSiaSU52G1Yh4SBOTMa977VjzdD1EV3mOgQ3MM8jba54U/3Ht1YsZtyPcAwl2Lb6j08L9Q2
NIeks+nGwAQFOb+bs1Pfj1Q9UzjwRCTUea16f9xaEizaUkf+QWej6JH4vLDaTIZJ1k1wB3cMe8op
yaY5cYMEq3fmrKMz7HojJtgBHJsMFi5Qt24vRt/oTxPbzUfGffZFpVZx8DHtbwmyJg/sllm466xA
PTVWPn11feb+2JE1Po2yGreDVz9GLEtkxLogUpt0aB5z7dLtrpa0PXbQFMwdLgixJzfprCs1YN3B
7p/FntsPTuwh06XbsBxA2qnSfxcESLq1VrU6FT4tQhEJjFWdcZlkUGLu876vPoKgApvX4HcY9yYe
vU05lOG6JD+wr6qhIVybj7ce5ILmag+28u1s8QP3prB+tRAgzxpCaRrbNXHB81w5S7tWcmmeu3Is
aSCdqJAmA9C6B9D9wwk8JXygBtsivUZmn314huHeDxSI3OQddc50s12Z8H74zdYsz9AF1Hs+eBgH
RwxuRwxY4lRZJBlXHba3B8+hB7bKQHCseuytFz5L/0GOznwpLOXjy4Bi8GDTBnvIMN0CJvJpbAvy
X35ol8949vPNmFRZf8u3V7+bi7kwce5JAMve2zW2S1CqaX8GrHx3KWHrW04udEVGdfU2W7g8usjI
0kPduHg5LC03RdQMvG/B5KwtM/PvzfYqMVc6mu8tTVXvI9Fg42i7jfywrZoHTEAtBhrXUCy3Jt0x
jIRjVP/ld4P7QUnHcD+RDXQOWIOLt2YUQlxmty95GXO3/mpG1X9T20Jzh5oa7BQKQFjObxVWNhe3
IQDkOaua9aUMji0pdWo4POajxMCwCFIWKFjMTGqlh7VsMmKOMJ7ICye9d+/mhGi8UbEy8+Va2DlV
3ZNWhtgW86crUlaCi2cLHXA3L2P/22si7pLFwP82nVT/9sZ+OJCSbc+jL4Ojh+h8XzQNjHoVzJD2
PKrknktCfLuUsg6arBNzZ/oJOUhJTnCF4A38ixlzGke+YrOZ+eXQzULRFJ6TlP94jX1FQPIrlW/b
2Vk+u6imPK2bnPmTYunku1cTVbZKDQRXReh2KY7XOS3uLEAUJ754/BA2f7xmWgxbYoWPpL50TJkf
OJim6ykD8kIqlZpx9Lpy4WEl2bazo7z5iApalmPPqcctdoXMwi8CgqTHDvxOo5ovYgwm9WcxewCH
E66KDkb+zZBILTngGcmJ6gTLY5zsFYeAj7TB/LZc647N5rUPRfeNHRVitNPg3s9Sj9tthLsI9OQ8
naVq66cmInm/krLxbpsQ5ik6YaYONeQbZ2O7orlj1Z/XUgbRsuew07QrhjTiGZ7add0ZWSaVDTKV
9JpFsjnh0LSe8aVXXB/n7iPMcrYaoKo031Wd565bYmqffd94myDNFaDwriguDhhjegzGinrYdEYI
xCiMEb2XFkq8Ij76LJY+esLEXYQxN4HlNptTk87HiR50Zl7umwncJX0sQJ/edW5K7SALTPjTc7bs
gaaYc7JV7Mx3tZi9Y0r9mLnKqj7cO41jAMwOUkwFgt/Z3szgwXh9D97Es2RA204OnDqsR/sRsbVd
t77QLyk13LCg7fAO3tC1Wcjr1H1p996wNSOyfBxJDBNSYT/4M14H4T8OfpRdcgqoOOSFxXzxnK74
xjPjPHR05bETOQ2kIsyy/sYbPOOHFS/fsj/7W0hz+a9gnto1RyHvGT9MY23BefgPph59coh5kMVR
6sC17GyGJEyEo2PqN8F7gYPzrjKl8dUQV38055QaAlv11ammhuo3VZFZewYs0STk5b3qB/9u/7KM
07wvl3I4QSktsIEHqcmIAx5qvfWBw87rrGYV2ndd5e8BVxvPvqDIcVOCxoGM7fWnimBaTBWVacYd
WdWNNWtJF4ddlkezoMETHPwwvy4hZjdKkJmVB3PQBVjKsmlbWE17ZmQcgH4XmdyMtchOsPTMg1Xp
t8nsiRGLJoOXNzO0ok3hI2nM62XKB8uQYgnJ4IiwdwmXivYARj/hX5IL80jPJovXyjHSF7uwwpUr
IbjyFGLpUdHvJnD3ynfkYRKJ2HRhX25dVLldCP0Btt+c/EqMVl1cu2H9m0k/r+TE7RDcya6poE+M
HBGwC02DfyuiprmbroWUXd6qrTUb9d5SZEc7EehvejfbexqV0C8Arw6cXYLmyWXv2/rhqPZjGYkP
jjMqbqL0IatZmpXmg84LwMcRC84qGJoEbgdYkjaSqMVCq7O2BTs1ZJ31mFEzmoCtskCVUEDLiAl6
6dj/FB2WnU0+lvAOc0C1eWfDYKw7vz+OPCCxYczyJDuCg25T5EdKKIbPJex+ltbgbAXE4bqdchtr
0xqyySzlcTbsBWesYKYHpJ32MrSjG+o/6g0xIeofoC6uCLzZ2wyG6X1fmXMYd9NEgoRC3TPIZUxv
Rtvl69CT5sVbPPR0I/fPTpM88djf+2Bjh0m/YGomCUCv1SqEdIf3vSDYZgHz5+u89tELhLVuydOb
FMJoEef0Kb40zkS9gfAjQuEVLsKo7p7BLk6fWVtMd/SuXUuMoMTezIsf7H17dA8NpcbOzpwUuTkz
n5Z3VLJL0Sp5KfCT7RLV7zVzPE6AmlCGWToaF79MKKj1vDe8y8NXu6ibKi27kypzqqwss1xYYhzx
ZUeJib97mjD6T80WBE8I2NlYTgMda1fzm36kO4p9Luy8Ncqj3nalACBA2A+D/1LZt7gFxqc+4GyO
Q5CYumZC/94lEGB7yx42dQXQieiA+qKlW2zLKJgoPE/Gx0R4Jfec3tyCOGB3I1+2dQzLfw3rLipg
wgoxrAc5LOaG0wiloFPQbWgIABbQaKvadEbnkcgudA1UBHYgW7jVpTHsEhAbvUERdV9xeFqnhh5+
I9/2AQiJCT++Zdc1N5OeiXbPbvIjbQN6C7US0z5fsvpjEpLxhHbsMiF9k7firspb8yXJhobjd1Hd
Nbljf9ip4V/svLR+VG401qpwywrXId/DQXO72fqwb1Dglil7KbqJYksjBOn12LaqpsJFdOGmhVFO
51DZLW9D2nrQD7rhQGm7zX1hcuo7iwmrv78OSD6FZ1iboaCkFBfD5FMN5YL7oKW5Nx4tNRNoGQc3
Zn9pH9My6D9tgCsU3FjV3vayD5k36clRqq835TW/Yo7MWbjXldYaQ6/3RDVfj5OTMNSNmGbqRB0a
Z+TGVvYS7GB/OcbWIeMCIGWs6vCFpmTb3LXsms5KJeX1yCjO49hSJy4JgKOw6QUzm7moVT5E5u+W
rrTbkJT3qznRdbpKITJDBe+D/C2rM3lkglNjeaMCiMYKZttHI8id6ok6ruURQ+AANWci/U+98FRM
6yWdyQOMBtWjTCV2vRO8k7Sqog06pUXKg5E6K1JmAiOyvOWGS6f8iGp2LIgdGCgLQTKdq5nxROwk
PNNzqGKOkNgbNIWFvHKZvGXJ991Tp6v8YiWO+13mOnxlMkM2kf2Ik3Tr7eqibG+9qAUVKAU0ogyL
6BleHiDOKC1/cqM1kn0HCYbcQEqNCHEBZ2K2E1U0glmSgQExJRsOkd+O8JBkBjAIxUFdr4VaMI8o
O0XWbGp7d826rkfG/uLKllUN6TzijbhkM3fidVd5OgM2MCtSfIqbWA4bZw4pqwoGcy0Lrw9iV7b6
zUm661EZlYQ9R5XlU8E40IsTJpaXmusL/7YihR6nFQ/min268I+dV7mfwqCeQYIknuKCUjROOGxR
M3phu8JwOx3HqL3aI6321a+s8G0hMjwRP0qNuyYsnTlWBJFpHnfUjG2BRkmaXLU8cBIvt8PSYhVP
Zk0VdwVBDgNP3pP9oghLfLjd3O5qX/u3Ja3rQGVrMhbbPtAB0LvQ+/aZfxgo1XgafLekny7jzPOW
K4Iq4K81nuDOd+4qRJZ9WeHv5Ql2yofagLVH/LOTcSq5e5BQF2CMLenXZ2q9BM7Wjo6xdQVPpt0M
VQO5K6E4ZxBosknVYo6Rid7oysp3xRAQ2kjKZHrHsk5PXTKH6kXPAT51X08RP3XgU4dsFz2KVBDN
DNCGglOyLlPrKQzCdNi4fehzTiiEc/LVoKsVPvj808YCztwimwxrOwuL/s5qcCGFRwEick5ZjYMf
JPfxPogp8Cz4EZN4QzJSu6q2/SMDkSDbkqWrd0xryx/KvO2bmshfjhfrD0+yCqR/ybToX7oIeko3
mvC29Zz4/JgoTX5cGCAxecS0BWuCR4VsWbLQAShDStv1IKInosjc5ieb5Wf2rfwrmUec6dq2O/vM
OpGVCKcWjcmq8CrrEE6drHcijAYHCvOgF2S9KfiWGI6fS99OuYxlkF5Whc1Ib5X1AZjX1Gf2yF3A
KEDtSowlDSgI8UnFWHBCzmJWiss8vMU7RagpYP1kwc4FEbKK9X+hfhtj89qrSSbFZW0xsIG51Jl4
igYKwqkbGRnSFtO7T6/1egk6/c6bJO2zNIndiFYofW5Ne/A4LwfIP4ajxE9iZXm6nexrIxPgUGrM
2ZZYV6Z6Kqvn3BkwS0TNQiBJ950fj2yT7sqg6Wbn+uTqDFuRhR9acz7PNSiG6y3SoC9bTp3YLGVT
5hubhOO9DfCm3YWcjCRXpkitO5yMGpKFm9yMEwnpWPb5sunMHKv+iPeXBdW8YrRZVZ0BiW/aEv8z
9XkePZw8V+bPEpdzyxwtkybDJBX4rANLGoW3aoHhRGyhqLiC+Yh5SU6b2ip0SunDCaewCfVNMCya
Gz4wfZAquVHE1JJtWVm/h8IIHyQSLpPH3AepbzT9tDYBvBS8xiU8TKNsZb1RLJuUW/SdcS+4aoQv
dkY0T8Cw4wKTA8YPR2swtlzr3ey3i1X8gyAm0cM8s7OHcqJ+lt+x163TMcgeijKc9xBk02Gbkid+
aTPdnpZ5EC9073CSrsM2vyu78q01nGTTZEFAPSKbyCa5QrFE1xPO01NSfyLoGD9N1s5P1NxqY03u
Gq0/YNmdKSVEwVlNIX1T3CGncE8Kg1l2MUTfHObkl5mH1fNiTjKLiXKrDZe19EjSNQoBlV5/IqKR
DuWivs2iWrq/LKPDoJPMznZioHBipOOSWPP0nTJnW6+NqnHIuAXjsseNKx76bmwfYO/wBuRkKtf0
SNmPslOs2f0CpYbCD2s6pZ2mrZz5itguYzCkcWUoJlFWS+PQNnG1k+1DHl9atJrBYW4JFYW6QIvS
o+2yWMNybq/u472aAAkcmWaGLrEW2zr0c/qYdq5P9NCaP80k2ziGC5/UxGkZdks5fiPIdNwEOvuN
M9nksbflqf8IhIuhRVOEJOukL54k+IAnzqJigcKWBkZsIkUZHNu67tUPzOZ3ZHNyRnlhDhCHyqx+
2Yqy0ZjIDlV7/sSwn9hHF1MshOGuYqHnRCn9avd/RXn9L4Np/88a3LGfA3bAcvJfS7Trzx/5+bfP
+udvt5/iU/5t/zn8KrO/SLX/+bf8w/Hu/B3gMkrgleiAP93BvvEPtdb++5/uaHTEPwXb/yXXAnh2
cLyHHqZm7w9T8z/VWvPv5lWCN+lzCcGKYWH/H6Cf/92U5YFSxVQSRWjCDP7NfzOAUZnDo8SevYHk
h1dy2vluurXAOBeT++dT9Rc5/1+Zo9b/JgubHv1IhMGCgPeeX8VfZWFR0UzdeirZeJxwOZA9zFAC
8ejR3OZtCZm+Vxij+/E1crZGsFyACplx6ryVnELsbDpNZbv10S/+5du7+9ND8pdPdTX3/Ku1BMQH
znjbJYvAP+AI/uunStqsifyqSzZtOm9AVB9KfwRrYQdbS8gN5Oo4MCouUv722vqLZreeE/c62wC0
xB3cbu//+w9k//E7/7dPhKAVWh5wb/y+5r99oioNWkJ8ItmoRac7O3cPovbcB0CiyYVaYfCKnlFe
kBIZK07+csya6+2HaCBUIpL6S1oTcq+9+6S3ypODRnkiAX5og3rbTgSamF5+BNN3yd6G84Qa6PqG
4jxCR6zuSFw1uAgNH9I3Ng4yN01mSE40ljfLuks9hkNkizDbRy3TVwog8tK9YSy61Wl29I2H0W4e
lqRa28Jdu5wnvXDeGJhqRx1h/7SPwk92SENn5dv7jAR+J99muv8MiI7L8GXUJz/QTF9H53htPbLd
fRG9DHp4JTbe4udRKdyh4OD2WMP0IZyHuByaHQgL9BAK03pxv7hH2iduS1CHzPTj0Js3VZAcvbRf
F24CWa88z974iFR0dJxgO5Gq8guYKLrqt9dy060B3Jwb9NpmJnGtfNauvBlSfwt+fwqoq4KVVEJx
apsBYESzUt4r1q1jXnlXYtfBKj3u/BqQObHMvoxpwqTgCJmaljqf50hHjFW78aGR3j3fJ3Xwzl73
9Cks40DF9QTbQ66tDkD3xSZeUC9kBwnojwZxMjPCksabOYQbTK2xkT0WSI2GvJ3bYEux+OeQJ/iR
v4Dpfij1XcthJUJG8yK6qATVdr7LZL0PLUgdYbDNCOCJROlbxrHtY9YnHwI16Gbu+OYCXVzoTx8f
7GVqeojftIL2CdIbIcFv4XTkB7iAVRzDWzBPlMb8wgGW3tuLaD4jsBO0PnvXl4ZGy8xK0kMwuo8B
9JhnjAfDQeGgficW2TBWiMRuHAPEeVrCxAvJvZqDmZOsrKReOqBaFhVUxPCqRyaxemv5Klj3cjGA
EjD8xG8N8OMThnW5x4utqR3HNnKTDm12drRz8STTKbkMwUNvV92fltH/0/ak/+82SQLV0X+7Q15+
MlJg/7oj/uOP/MO8FFCXx+4FqdP8Z8zrz+0wtP7usqu5nmW6TLT/KEn4p3vJ/ruHGRSLUmBSlcCO
+J/uJSv4O0Yni9hYZIGzZtP8n+yHuAn/fT8IPchCDjFUGpZIm9t/3Q+ywe9CtwGxDgaNSGRTgcZj
hmyYN2kgU0p6iA9oKo43EZj4amPTBXy2/Lrc4pjtTkWeW/SYmRX1T04WAattwcPbNhf1VYidVe7s
2sP9bmVg9CIuBxuBtmYRNh7lkTtp97ZkXolnsCkPmVOm+6rI5V5XAzDIaxkok936knHQ6Fed6Ido
7Tku9+uK9wqozuwyGrFdKeuDHZbuKSPqQ/q0dRVnfce4oYyp6NDz8a2StZmMX7z/kOi5bERfWSQx
h5g0ntI1nR2pcbsKmMXSnDmj+K+AgGm3R05grF60nFUptpIDLCBg32sUh/wl78v3cTGzm0xmT4mE
geKJaqD9zJefvr+kJ9cmPkpXnf/oL255Y2a5vZsG40pszRBUWEEOw2wYDPVMwBey3IqmXjYRv7oN
rZkp9zaZrHCyjA+yZvxdROFN2EzlyRZ9RqoD7p1oWX39Jntg4JofaqstNzQWzR/T0vjnlFg7eCLT
qLn2+QXMqZy03LFogLbFynSQY5Vu02nVlIBXjSsQjwXKYAEqS8tC8pxGrrnszlRvicW882e6K6Kh
LKMDw1xbMYy+8kKR0lD7Klt9NkE6docR3f3kC1AhK5N04QWBhwFp1YUDjGoJMuo0Eqlh5AoEmMtx
QCEsbA8R3alBgMfx+8ANt/UMkkNNgEfAJVIcbCZhl5HBrgCFkFjApgwDHUFD2bcZ4esPY9D2NlFj
vauZx15/pAFPHHzg5xa28cbrw+lcqGq49FZQ8lWSLp5X7hSCyrFHOTyGFnrPqqKt4VV7o//StJYE
+TdK6z6iKu7i2+TH1p5Mmj0WunJfRe5IalGjFvUmoAyy3/m9AnvMRSkVHffWeWYsyo80bHVpNag9
5XUk7/vZQ0qSek8Y2LxuxNOWsUfFFKy42krboLnBjdDjV36EJ0vachwAoaQvzQhPvinm4Vb3/I4t
hP13Rg/6zmskhw4XtEEo60s/WbfOPFvrQk8Lwfryqo0Y/MrgTsUSH8VNVGIw2JUwgnir5wl9SEpy
nowjgIa11EAvG012f4mNdsJCBAvgV5An78zO5JkZbX0zdtFEVSUWuVXO1GSvic/DGJhAMS4qVCvu
pcklV0BxsEIk9UlnEOe39mjRzizNLLivs1K9WDQw9UggZXCjIku+TbZbY52RLXODgAHUyWsTPR3G
kFEYeq/ws405OOH84Zp8SY/458a14lj9U8ImRIe2Ot9vzyHPfsSwlTuj9WoIsnmHNL8OyHIxgCFu
HLcwvx0/SaJz3SBZrb2ZG3IfNEWEUSsIqyOFnZkTm9YwP0MMsNae7umlsif60dOGZm/C2AWVUoS4
GWRqlukVS7RZbAJPl69ZNo07HTH0iVnsX3QXjWfL6dUt9XT1cyk96pOx7DHGD8vJ/AmoY9gpQFA3
EJ6In6dGsh36nDMESXnn0ljT/FWrxHovJU7qQPbefuItYoVtBQPzvn0aM5t5fWkuHvUopds1P2Lo
G46EfvIrN9S8LxgY/shxQoixTf5iK4EfA5N/cafdJBxPPWUGxAAgCioUOEcBFj3MqgsGEhdq8rcB
RQacxvFFrHuu8eMmo6bM3yf2RHSk0qTMbuoqaO1DxVix2nh2NnIULMTyhJPnaqlMqdKhcotLFl5+
l4mS7dVi4KofFTcTDg22F2jarZXi7Fg0mRi7TZrdzAyNgcEVN1qKS6mq8ixDkAsGfXQkjlwm7g4b
z6oaVXuE8YvWoCN/3M3TVN2IQo7PmLUEYm0ENmfhyvKhJT8O2FVeiZUaaRjgyNc5J4HrdNkSUr1S
FMo2yPeFqMcqpq96/jbdjuDmUMzRF90cGAjanPa9VRsAKsKoatbRjqkvNnWzmqmlgjLq0n5NP8SD
CgJlb0D2BukpoQcDcLXWAjGQBT67BCDIGYLSOnLIyRocxtZ2x5vSbcY91mLeAmVUpwbIFIPqKCSb
Bzs8zrFmMIhL+4dg0v1WldL87PrlwR3oEMCWkehHcyoYkzGvx0DX5zLg2AuQVK3spfA/pZjNck0X
iv8qtaej2PXbXOwZTQ/pRnf+Qhc7BLyFNTvvY3Me51+gScxnz+rHx54hebFuhrl/9B0zOnW8w6vJ
sN0HS3XuKy2f1YkF2z0qULwrL5cCnOx8s0SlO8Xa51IRegUGp+Vo97ywiKTl8lOVDW1y2nHnmY+o
/KsFpFKMuvkqxQoNX85bMKFGvXNL1/nNwYkDcWuE1XzvCDN99lL6P/nbzfBUWJUvdvTUOc/5lLPe
kZvrsZA115gE1o7+YnDLgtg82NFrW0bV3sJBQysM4GVnj7o2JMRbkmRa+ynntRWQPUC4qlB80ZmL
w/aiYND3m3BQJeJmYV5kDrYB65xGjZPDXHOGiLBB4JHU7x0d9BdtL8a6EckC4Ul46lFBRP0E+OPZ
sadVAOpEoIybZoWBLy3trott2g8v/NTdMUlpC9z7rYl5r0i1+qXK1EQiEaOAE4HhPdg3c48lU2on
SGNwESB/UzNlwfYXy0DS6qvxJpjMdonxDuENE57V/likbgoubUNzVGnntLE7dt8h6aZ924EL1u6w
YDOc4HVj+zY8FbMzLdz7uvyKUDfFu0c67+yZ+fBqZCVqgDmr/Gawmudw7Dwbp3ImrA3F0N6pkirf
5NWQa7wT9Y/pUoLkjYl8W+qmOciu4DsftK9vp6IFtgERq8cahr5X6ZxBf+lz+9lSntjd5RnublDb
PSGlklJA1NGOUX2mC6lRGBi/gA6yr02/FU4hUEW52Bhg6k6GG4pnDSHwly7pOcTTMJbNptHNYsXZ
UvPoEdzu1ksv245VGeF11Skmnoxy/Gid2Fw4B62TlwHhAmxHKnfSv9qDUaAhS4IyWeZ0x4F0X5iF
r1Yyx4TizkxPcAT5Pa2apKudEHMHqqm7wfrNEphVhXods6jYuKKfYvZ91pOCp/IoQifZ96Jszw29
xU8I6LRhIjitYblOdD36ZRkraXZfAos1NtQ0db6nqomxMW+SolneQTL8GrKEsnswmFBp7IFK2Rn5
CTNC6P3hq8IukpD8QmlJwWXDI2JSQTvPm+WyG72mXWNwK58c784ZoDAtUH4w5UpKLveib0trNWLG
oo4zqouvVnjE7THDQj1xG2QrP0wNfFZN1O4l20XcswccJlDiD02UjS9Jj9vZG0t73KmcU6aR1qfB
xtm06noEzL2hqhALbF1jfqR8dXzCIoK5w+t8hh1BUX0RwpdvNkEmb12hOfySroGhnRAVf/cUyntW
INOOtem03P+LRt2Z7RidXdPCTgviNbqDyy0fSRaDZUt81Fu8SHX34WdBBj+zzWHHc0Cb30M0128t
At6OoMeJcOLF42CY1SkXfV+rJxiyzplAvH1XTZZ6Dp0QXcdpNWZfR/gz+ywurnjIjGiHJWfa8/SM
RNBSU/+49F9m+2bJohPBNwrCzCZAIANOFSITzw52sVxRsGNfYedlWcG9N1Qg3sCA+ADjRrpQS13y
BfaN00P7rg3rkwIMfbT8UdyMdnVtJgqvR7AB3H1Mr6QtORw4ZNU5EwIOj2Z1RuPDm9NhyTZWi52Y
0S6t3eoXi0T+mTOZuClDM3dIvXX1ht8ZBqYhzKAY4hQEQ0MzRbK2kuZF+flw4mWl8xo1Ph5axzpa
1IKgGxUunjM9blhVAYEHgH/p14sSF6fr1Twrllk856KMfkTU8mpLIF5fk/bys2y9yF4FGe3kJKml
9QU3ClKtCco+Mwob7yP3xhHfMYHi6SQTQK3dUuQbYD/lxcmX+q4J/NyGv0BzEIghFpa2AYxIpJmx
nNF9RqUJyj3U3gfsruVrKjtS8m04iyt7KP9q7YZ+16kUj8i7xZudVOYjDmnufwF7yC2dMMm4w8yq
kO0Duy9iXiwKOqlMhoOZSUnXhvA2UzX2mOWNPQ3hc1zXjzg2/4O9M1mOG8nS9ROhDO6YlzcmRASD
8yCKGxgpipjnGU/fn4eyuiVmlrJzc+0urlktSimRQAQc7uf85x8yifPpgmQGqeO6NCsDsycESxdz
WGRAZFOXwZ02ov20UFxsGjtbojXD+OjdNiqKRRQH29pych+m+BLuLOyGL0J4Fje2wpoyHsADDMPs
nv2iPoUGH4PKCMX6kEYEpo8cuDPTsQc5YkPGAw1ov746Cbvt5JnhPUDn4+8R3c8YO143OjgCyhKE
xuSMfcK9K8sanSzH0RnXKjzBXQfzkam0tQucSNOFDJCgeP/9Ff+EtCNjRs0Nrg8o6NgqU/JnARbD
yjo3qm7xictObnGk7a7MSBn7FsI5xtgp+EKZQ//+ogqW/gW25mMaYKauB8IvhfFJuStjUS6Bk07+
GIXZibqmu0HBg3BXT6KHamkI/5tn4s3Gsf6hSfz/UNzDXOFq/vqex4RutsiJv3U/42oYP+CqYaoB
wX8eWD123WvzmkaMrP7Dz/6By6ECVJYt/EZbmUooiO2PMZUD+IY/OhMsXkjnfzSFBoAdj1ri1WQw
0bF/smWS7r/4C9f2cEqnuVM/9U+mVM5nVI7lxOUxU0JRSEWnqynOT7YjmOhUDTCU9MPEyjOfQO2R
loiOyfcCx3olxE/eCoKsVtCOdXIbCJtZ6+lsy51hEjk3Ws548lqYt+kARyBAnrKOqsd+KTbFMCxr
RuIETNl1dnC6aniL4r47EHpNnnrShRqk3aUwMHtzreWgzcSWrV0n1u8IGDd2RVcvJN7Duchqs9tD
R+EubIKPEF3jBaen414rquZ7SF28BuboGULkKvMYH8wrHZcc0jelwEianCzK8nqXI3aCCJPH27ZL
3AuaTXIUowXNgUg0zH0M7z1R0cGUA7POrC6A2Tr3+j3ZxDE8SLv2eTIOlJ0J8bDZjQtj+FhudKxJ
dnDYCkmYAcTcVYR5bQYUihNeSMpK7qL2WYXDjKiOuDe5wiDKvSXSPdzYdVXeDK5Zvel5Vl+BGpxM
JOadp18uoGeK7bfH5+I0DASVWfMtJEPsdMz+honIJUkfWP+YTrczmthfsDwExkgmYgCJYsvWoZZX
l5U7jcS2pYH90LGrnfEqfAAB/29lmVw0KWSxysVOKigsRY7g0NpF+ezha+01+oBnlixfNUObL+G7
Bi8eojp6Sbe6WVrRl4zLNRsRW1Ifm2Ru90il9UsGaVm91jsj3Mxuh786ShzUOvmEoJmOf5+F/fA4
0ICSAh1aKYHXy6BIyeKEHlc7lCgmvrVGF6z71JIwwOA1EGYxOl9G+DsXuPiPJNBF+ALZfCNbJobx
e2yPDVZD6YyjdYnXdom4wyd7rXgZsESgD4ZTlwk9eWuq8mvnznD5vMXxcbNK7/LUHG5aqHhPZTxy
SseRfiri2jklkBihsKJkpKU/BeUUngZ9KnZNbWh7Tx+p70JT3jpapsc4P+VoAsyUFY3kDRf7AC4i
0sDLbDI517NUQgh1cnGal6acYdUnzlNHcJVcI8GKDmUdz/foI6YDSIO4kSIjKia0quEVzdR4DFJi
a4ylTXzImd3LmAcjWl1cmdXB8QCADBmCDmC8NrSkecls4gnXKWBFvYb2Y9VXnp4ywwtGBJwbnGgg
MaWptk3xlq9xcHcrrAE5XYpF4zKFZY830MzyJ7PUsDMlaztY17Bfom0bSgcLlsEgK4+WBpIgWbRO
IoOtFuvuNdsFuEoKkeYqiSxvBRczuxm7pTsNHKc3kxgovfHumO+xjxZHM+3abmXiwPCN8JDwWocL
goW6SLA7hn9CZoujE7MqHO2CGBiSTEalvOWiRXKNz0mBlpBsQhr3ftsFU4Fbo8g2eFJNe8cZiTPs
NJINXZVxSF1QnSKVe0iUjtKRgmTsmF9Cu/FURqJMArlzSjLPRUSCon7OUlSpigXF/SU2r/mLVWVY
OXQB7Ja1nB+rcySjpdIZBSrRN6ESG/HCV57ddXNvFdW0QcTL2aMyHp1Y8G7NKvkxCLPx1u1Jg0TK
MqosQLiZlafiBmd7K5xur9V6s3fKITqlBL/uPZUy2TlafSNsL7+JGeY84aE1Pukql3I0KiAqRoly
j1m0du/MvbweVJalCGrQQQF8ekFyE9R0GFsXlsq/rAsDkCMN3E0pxurJKkEfwWCbJ3SSMYtCxWji
Q7VsDTHbu4ThEJNy8jZ1lbw5qAzOGseHgZaBZE4CHYNdhHs1pvMqubNMCwNTv5i+T+V6uirhU4Dy
knuXiAPeft5zoZJA61b2dzUUxxv+GByqbnSekfblfg6jc9cxob2SNiNUTF2Kt9nphp0pZP4i+9h7
8VxicMBDYl9OuP4hiJesdruDta3iS13NwTFCZZqKWsWbWqS8H7FS74/VYJJ1rHJQTZWIWqlsVNw3
v8lmctc2sakYf7PHc6rlQflSnaNV5965w7t1HarUVTdywgdQiuF70eKbbTdEf3XNWEDlomMVW3te
cgdivHJzacxx3GmzAWbcNUZ1qkhYWC8qAbbplW+eC/0w0GWxZybkMhCwVqbx3MzN0QLIvhTlsM9D
l44gDi8nrWn2bNWoSNBW5QnkDq/CgwxlULMWEyb66Am7eF6RQ25kxxQkWF/xTHIoXX3hwjQgfSrt
kuwQ9bCqUXYTaoDb3riKmuZFx7iRgLvSgRg1GhOu5Dpj/KZd5g3Q6rKV9WjtCi8f7gytwZerD0tv
P4mK8T9G0+FqnsC0kztnYZKe5T0dMfqBt6o30n1AtsBbjYnYcar4egrW/EMO0ZsVW5mXUVvR/5VB
BRBZzBdilNCsSdqwh2nx0Rplz2IK3lMOLSaBr9HkoA3JM4RnhbbvShzZzRBxTRkcIOCU68nUjLuW
wMyjmZT6vTkPmCY3QJoYHRcYREnXgiZnRToa+mISu7yPSQyVuvYxBY19FLJsnng/6pPjVv3eWJgP
5GFfvuddPuxdWTnHTlbLaxNZqJei4iZIBaIQxOLbcMiDex5Azncq3RyX2MZ9dZHrbs22jvCyn5IN
/9DYhO0k/EpfypvMKPRTG8f58zjow3aIwkrHQmUYqt0oiRWUdjchY4fz9JFjYAJmqHm7MU3NmlCx
htl/iKHDVrhoiX27UHpJs9DunDAN4200mcO+mIiiwEu/sDNfg/d+R30RF5cZOHQEBTCDB8s2sI4O
eisWdwMsmIzXHkxIaNZNBsHFiL/n7Dgz+lsbhIh5wKo17PjRyHMAN8rdtZsK8dAqevUkYVPwZ8fY
50EU74wEhbRWxvqWNCAILq6MseyO5bZ34BrSplxroBhFRUTg1LSHppxKaJIQg12QZcIvW7FucQdY
Q++Y3tGvTx8g1+9tbDUvDioFuxqI1kHfVF57dOD7fulxmnTieF2UxnhygJIoVvXhAkC+2eBlgaaa
RKP1mHE8tXpvHI3afZDLmF+0TPe2stfcTUAbTLytA/hX4btjZVaxi9o+vkC6PzLMCzQ8Mkbtvktz
7IAsYUNQKuxLm0jdd9eoIVY1TegXIPY8hj7HCaO0L2PDDW9AXie/XYZupyW5WNtRZt+HuGifjIKj
c51IzA4tFKg4cg1eiKbIGZDTduGhYe72Bp142rpaFdzkcdNv9REfJCbl3apsE+sKl/J0rWWBsQ1x
ytsESHKQLrqFt4qYEVlQfTG2IZBHKwk/G50tktBol6CiIZ4mHbUD9k/mheM2w1Y0k7nPJ1vcB53H
ML7SrcseB+O9RXasn2Ik8tQ1YbmqJLye1B7GQ5wF5Y0zQl9lMgwCBEiqxc9W3HQwWNPqjpa220wy
Dq/NmFhrojlMYkWcjPevcekOYltuzdFNj7HI3b0TdLDdw6r4cIvUvbRbK3sc0iL37a7QISA7cr8A
yh28ejZ3DAr1A/pngZV54HHUIFvGNj01NrFeTKdW724tvd1Rp+qnVAmS3az5ogUlvkNmdMUo/Gsx
jBE4Wmk9GsyZQBWbBlkyTUtlI7KvpI5JFcymbRNAA11NZjxue0wBodvnDB5YGNil51023pFUaD8Q
IkWcXdgFfILJQf/ZBsefOsu/INPJP3nwfe7TFBbyU5+muS5pLHoMdkMwFDaKFurAwXOOZM/GO2kl
JSYTo/ZYe3J6wD3Ue57dobqW0RJeuLOsvwbxmGzNgQJ/hQtr6Ef9XD1MBgFzuqXVG9SG8SZvPO2G
EHAkS7UboxknNjiH32RSSmiBjJ9hlmgaRU0xkPjUFX6FMmGL1cOF68baNyjc4cbQpvKaRI12D3+W
0WQrCMOprC2yEPEs+9656AT0vqTGeczh3s/qsSuEFemOiXED7Fq7y6GJHOeFSj30LUk2n0jG13Kw
bvquvzepUFYz8TEbIkLnDUHpM1p3lS+ULidMFB0qcBc/E100Hm4FKPPsXTY1ylkkbKx32dVwNBjt
gYvPOUXhdtBE+QWT+kxuqhguvEIKh1PgOPMhqql2Ib9J+7bEhvi6zVDC7ia2g0t0z/K71evxO8ml
w6YyNWc7dpEkPYZB3gre3WphJKdvy3mwL8yu1/aWZJjZJgsUZOn28bKdS336PrTTcxst9a7orXiH
s0m2A/NGtBLSO9mVBajaLPFlMFrusGFs0zkr4maIJyuHloDKJb5e0oITGp+GIzE79k2sN1hrGtMQ
3/Gie4fJm8aDLM3hsGBRAoFubj8wsKUUzMdxeojy0dLWPfXCuHZrAqHXrtAw9ld19nAuubNz+U3I
n3bBKUxRnlTw0Pki5U6nlz+PC6NrQp7Kb8a5qEfSDkp7rvQRzk/sD9T/o+Z2hH3QE6SqO0A6Fl/1
2SAR/WD1cd0mo8BT12sfctVgNOdew6YyYzNSLYhx7kZ61ZjkqkXJz91KoBqXsYk4rO1REg06e/XW
wAVnS150u/LOLY97bn+E0xQVttEOGsTGFkdY/952NquEB56ycD1c2yHkCecVTyNJZAQUdFkM3Y05
NYk/u3O7sInRby1YwOJFS9iMVt1pJMrsK8ySTgYk3Luc0fK6hP2+1iCxQECnFD46mN1cMHUnEKEJ
OjR/SV/h9UEZtnJ5DusIAcsXSUjLuoc3c+O5o/NU8wxmrFBoGVPVPMIaVvwgaEakXQA6qibTLDBe
G8+dp33uQj3VkFY4Sfi1alJ71a72wg5PNR1spVpZNFE8dtXecpOq0aXlbVTziwvJcGOrhthVrbGl
he7Xwqy/woxJ32zVQPeqlV5UU42wt/Ddc6e9qKY7Uu23pxpx5kD05Jlqz3PVqA+qZe9U8z6pNr47
d/SNau6RLWvfFtXwI3o85UHH30Lwx4j2jAwoP8fHXsEFlgIO8PX0/gZUNRXd7GdUVZgkUpoCXYSO
uTVU0l831BZPdJqEWvNn1AjHIo0PnQT/tmbN20pJnS49RlS6qQaChO0xTo17jEGkI762bhQVhN07
4fs89OMxz8z5QnNFe+OC5j1TGJRPhludetKytj1qeOS6BuSqvIvJadCqlGeq9DOzM6d7vaPpXAVd
IpyNHWrOEYZEUW67mbsyPDlQWaGIeiWvCz0sxiqkbJMqZr2n5z0tOe9vy3mvIxSOfS9SW6CnNsPf
H0F/Mkv+cQJRTDMHkgxXzV+/MK9pw9mcZtfPV8798mw816/ac303XrW3ELyKay27+v0VTfUIfnlE
hqEYi44yOmerdD5dcQRgye0uDnzmhMEbGsu4WzeYXF+lU7zINZV0BdRfd/aasKLoDSFmt63MIP1Y
hIWOY57jYFdg98mzdKiot0tgcIbLEpadvxBV96XtKvvBxgCf2NiiHMU6NYkEhKw+N1BgyvpkMKA/
2sUyHahk2J+AU1a2497BenJ94tVCwIY82WWmIBuyHesLMjSWF2ZcwaEdA5LAasv1uznTHvN4bE49
ip7bKB/CC5n1AvUzBfF95NnLq4lBW7rJxmnEPClunszQUPsXs+Yv5y/1/xqk/4tjIK6Cf1xYJYb+
8oetytGeb/vvzXz3ve2z7t8otfqX/9u//COD9O/Qel2wIE2Q7f8M1m9e89firC7ZxP0vcP1///AP
tN5R0hFGShgyWygYzlzZP9B6/V9g7j/pTViO/2bR6v/ib8jpYR+RuGt53Mv/qEoMHNw8ZSL/I2Hp
n+D13uddy4K6YRJpwP9MwdhPwfk/lYFVg7qL0BcTVCX+6B37ijB7v7K9hyRggqfDkUWTOa0GLXiI
Qw6Dxf7q0Jj03kuk6kahhRdBtDylve0T9LITmrZNThj4HTtUv5NDex0Ml9GoP9XS8NMu3FWL5SdL
s8eGq4xgwWfVBagDMPzOHvnZujhl8GhNAP7UNm7txrqybMMfa/PWDMQV3Bdph/g9Rbu58pQK/Z5m
5n6Zgi3FEeZS5TrNAWe7tyW7nxWfMV98SxHCYCo5lXvow/wkKvOqMKenimChqitubEvfVvPsZzlT
BBQKswweQMndjRuYD60d7hsCHvIAjpITgWS3VrNfArykGQbfdqGzZ6SQrGNreOka70F3m+fE5CsL
ddM3AvtA/PwWr9xvWmds6io/mSRn/rTy/qKYP3v1/7yvnR8iEbQollhn0v20r+EfL+FAEYOGMfMm
xCYvd/JTONbX1jxf47rWriJc5dDhbzVs1QeezO9v4E/NhBIn4Uypk2nwlz6SteeWnowBbmHDVZD6
3b7ZIUkUqwGMZptGkqy+1Pb7YLlJ6uVpKGLjZAmLjtFGPu+svs9G1+wWu7HXQ2rAgxJBvg3K5TRl
kKpxs1nbpLQedIWiLIhdTAvDMkAdKmMmpzAHxmw7GsALE91XifEEWJFxUVNprSIn0Gm2JMo/bChH
6KUU2f7SxmLNu/fFqOVFgC2Om/QXRR3Vx5Kc1It/vkf+7+QF//Ff/T+4TSpjWUynf1oqf4p5/j/F
+3/vk1dkV76hwzu0GRPO9uc9879/048t0zP+xe6m4+9tMIkXVFX/HnB6RDfjcM8i8yS+02c/1T+2
TGH8i/+ivFFxhnZ0qVzL/9gyyY+2oGoy4RQWNRq/959smeLTzB41hKAs1w1sdT3dcs+6hJ+2zLat
W5jrU+NHI9AjU863ouKQN+BOriKsAHfkfX50dlytFy99K0UL15Yo2XU9oDiPS6xGXLChAHONdTDG
TwMN3d+8j+KTD7W6RRQb6IE4Qzgp1PHx866OLyk7fRo2vpvTumkAV/QveP/OkXeiRn01jekKOHzD
BKZdpTY+Wz895b/akf76BjCql3xVDgSHX28AOVDljmaGAbZKCzaWaVgr7jypucE2qol57HHdgpLV
HXukwKtEcB+/vwU1Z/5pTzx/BYSGUItb7E3Mt3+9g9bE/SpjCOo3fYh3q3Ae+gimJufL76/zuaj8
40I2l1GcEfk5m8Re8LGZibnyixImfAe/Zcdo+rnE3GOHdUG8nnErWdc2WcPDOOLiFOjFSZvkrVWQ
YpzDWoR6bwSv4G+jQnz1OyNF+aXeC9+zpubQF+XsNznh4VqFbwOorbO17AqVXY/YBHk6iule3mAM
l7H++CLn2v5K1MhBb1p3Y8Y1iaWF5qrAg9lvwTcu5+BxGTHjinJyXagKduY0TldTm34IY0m37ZC9
FRp2dzD/SRb1vg9Rfod954/K8T/KTD/RUPjieCUYK+nChptKltSvT8hZCj0L4xp1pkGfFE/z1wSS
FmTrDjBIxhzmMI+devB2v39in6NvuLAJA4Gy2jGwkmcb+fXCOfOxqqUf9902yrZulyUHDFa7vZSV
3IQ4zsD7WoZ12UgIoTMvdAH3b+0Ag+68bJLbLAp35Kl6RErxTsHHADoKHHdV1iNFRBLQYXnSTLGj
I8n5b+79U72m7t2G2oHcWEcD63wOE9GRJeIzFmU+RWexYSZnXYRRWq2NgQjosS+3qdNlfhd0+VU1
EUlpiMOYhkdix9tVkNuHHxuQOe1K62SrAT48PEKwNT40pn8G6j6oF5OxfPv9ff/5WZP3hBjaotfz
LFPp0n7ekDoii/Vm4LZHrVG8ejYFl0CtH190Y1ce2eIgF5qZyb97P/nNv+4DXNmUzDZsi3nV54Cr
XjLcRtqQ+cHQVjBjPXflxSSH//7zqQrr81VU/AKxp3w4NpxfP1+RVbmBW0XmR7NT+A5E4SMZmm+/
v4h7JqB9vgz9q6Q9QXDsyk+bWpk3DgZ/Q4bvZfYROAGTCbv14M4XBkN4k5fc00bOFuTCBIQu6RFN
3IcIzYXCPUHN3UecO7O3FiapgnlnaVvwXH2ftSzyNAHwasDc10bhPmg2ucBwfK5wZGwOqCPwbJl6
mDWEje80YySgPtPllvYUgy/2N0tMch1jtoltBf+sjSzFv+DWkp50ei/g583ahX6x4AFMeIq7wrgM
U2XMwZkBxB5oJbVj5BEzKWX7NBG5hqSCrEGAjLd8id+sxLjNqyU4BhXuZKaRfJBVXu6R2nkr3Sv2
2uTpilTv7bIy/mjCwAXRZM+tDQgcmF+w4ATruwhbiJZV9mYPrEEzDR/rpVp2Q+Y9kALHCuxS7ttA
7OPBhCTqccvg/hnupLce1e6Nk3f7BYVRi2NI426mCZYOcmUXcmBivgp9ZluWOO1lY/zW4tu1Meqa
UGMbCkssrZeikYCCfU5CRjlSPMQLB/GCgtvJkg8R8aGHsHM3OZq/Vdh1dySRfLdTTs/RINxuHAdY
rWzcY1+1Wyx5Bc09o7K80Z4dErI3ZoBNIL6FBIbCy173WCvv2MsKP7XiNzICCqhIdswcjxM4mztj
lZv5ycqq+0R4D3Wb57yGNEAM8yOf4sfgYMGgKzN4NEXb3Nkx3mB51V9TYPiBU7w1etsc0OIpORwJ
Dt7E08xnNsumTpicZ/aurrOPwmvkCs+iCwxMiAxPPzJixP2pndtNaPJB2zHHrMa4DAwFuRYD80Pd
uUqDUiKP4gxIkT9tZI8FTlCxzmGVakDd1FeQ5qv1PKQfWqixYnmysxN+WPgd4rJdW08DQ2qeOGNv
aebthpCeDwBhFgHSwBWRb+5Gi8oTg2C6BLJt19mSvxllnl33xB6v7UFz71uZ7XDCewNOKvfRjADG
JpBaZ7zG2MwVJzvpqa3Ug6EyuGrtptumgsPjvHbnkWWjV5CDMRzrMPqL39yAmtEKjVvDzTyF5Ly5
OgOJlBUuOl6N88JtFu47KKYdJpzFFo2IPxPpW3kUMlGtpz9egZwVJoRxCxux3VhKL2Oa1XJZTDys
PlbVhsbvK/PKABVmBcFOw9RI53WB9A2LCh3qadTp18UY4LPusmjLLn473zi3SxXTFwvOcZxpmFJA
Erb69kvvjcjvOp39upp41Zyouiw9MPJ44Nk5MwqBpXYOwiaAxCKgBZ4I+VvJNJzKEZZCkgYJ444A
ni8bGIIfNizH4mf4HCxdEnbUA8Zd4lZm9XNZ8V7ZU/JR29x1UCdv5+2id9KPbqKOdgk8XRVJyAVa
G7w34wSpbNC5RgD/9iNfIs0A9RCOMWuqZGc1WGJPqk1yyvBy3EACcjdsVOnWXqpnS5an8+mEowPW
QRC9d5YwgyOe7R+zHgQ3GBjvCFZJ0aQu5rZpi4rBCkkGs/de4KW1MiQrt6DoWrVt/Ni2vMemxu8d
2GtTu+QLmSy/cbK3jvpKbWczCR0rxrdX502pt9heMIx7TibuLcY/TJb2sq8z65Z+p/Bjwatiu8nb
rMUJRjO0thn09R/dRKQKFjs20KVx7GBUenX+hPiefahXAqunW3UUEC5x21Xc2PkZVNK7iklkRKqL
dWs6nlw4m2tRqGWD8/EqkNAzSvQLWBmLk9UkH2kVZtsGP79No7MYzzuda7KZ4Hz2UM64Ipj2Aooj
vPG6xTVti0uUB70SUdmoLfwU5rr7LGWc2amngyMU/DaEy0tY4HiV8B5OUOuP5504nlQhZofZZoRZ
zxtMmTUv7oOTofoBsi5s7sSddi3miFQxPABylnHzK3tS49M8viqhqeGEWXH8tOwIrGF+vTpXDIwW
Vq0qnlPbuhVNsGX4NgPWoOBJZ75ItcIAZCmQK8p0dhoc33hUY8miazw2nqxiWaESQjQz8GgMj4JC
PV2UJ5gD8oY7Ebs+XVDh1yG/sB7oCs77b6Z2x6Bm4FGkwlhpOJvua9QTW3XGNR4XCCNWtdXzAjlL
erJt7loq7U5SiXRzLof7GAipHxndaEE2P+ooYPZOztuN2MdYwXl4O6+VosvfEjf6AG1+CPRk5sBo
6hV27vpGnTZI9DgYO14BlN6IGh073diIcFbmAO3f7LC9RRbZI0ov6h2utwhy7Ca+GlWsr0WaDhiM
s0PThOSDQO8Nx0l9xS5ZX8Rm1B3MscBm0QJRm4xo2gBOe7u0H91tWXqEd9WdCeNgnGH4Rpa+b6ol
xEkD0xPKaTPeDaIaVp0bk+rqMDVHHf9R1uUzpIpuN9FZfdO8dLk3yEe40Av0AGHV3SeobX36nHgj
AyGecScgvJtJPhWxgQ0VNvwbw1j0PTagO2uhTSJuVJUG1YCwy4qcG4GzCHnXM+b+ozLCn+sS4xKO
hTSiTq6X5soQEWQBcxJHiG9vvZaR3O5gk4U5HjS+kRyVdNSXi6XhdaoKNnvV5qGVSTeRID6M473d
QdOL9p6GLgP7AJQpyhd+LDNsdU1G46j8SzAs4jWGCsO6KMfJhrQCPApk8z1ZKNi6wapWoi4yohyq
bguOfei8+hltIDYFfbWsBsPGf9/AhTd1jdZHDw44mZgBl2cCiSN3AGez53erjIJYiH7X9NYxw0Yy
zMLxe9o1eBnUbrAZpwDLeGl/qxxsbsP5Ww83YKWJiE0Lnd+6dKHYaDXeKawGhrhpEa8InEHna5ZS
p4eLbeyAjL2WRAk0S9IqBhxLKJ5vtBGWCU5wij2zC8kn2bohzzSMLrWxuYhJFWMRjo9CH49oStyV
G+cVW7n2vbJZfA7ZA1s5CYm7nvZqdey6SY1/abeYt2GKhXDS6KdGM9JNQdgKGHbfYlQptH3NiHLT
TkTEuKrzWRjQrvSFbSnu4w8xlR7MQ+onEbDTlEU0PxodBD+e8ALXhxPILOzgY0Smv8YdLHsq6t68
MBf9eZBsFZpon4mAoaRK6wZjfA+PE40sONxwOz8tKYKjqV4gXVEx6fRw6SohrwDZEe+3qaUnxBcf
dcjmAOG/22pD6fl91fBTqqPHsZPtwOA1dSsKmUIXtwbqsVVWwNdpctZtqZYoDbMPTfDNG3rXT4vh
NnJZMQHmnSutwNd94ShQ9zm4+q0AffBbW9AWclqvPMrsXkRvqVU+6ykBF4Ol37YLoQYdpg/rkZni
UYiIjGDd6TeVE95gvnmqZvFCA1nv9AHH9laXzWOvpV8TzrSwc/xazt5xbNjUiEhOLxOIAUhROfRb
r6O6Vtvp0uXLZUpC+2ZwO9hqlvtgxOj05vxEgTHdLM4EJ7E2LplUFHzJHm6XsU3fCNOjkyOWDxM5
75IwM6gpED0zPisOblfmmEQ3eiOqr7HOd19QJm9F6hwykxWGKJBpNnkgFFh8p6gZ+Z6Z1GFyXDRo
q+PxISfNA9dIlptU4FUczthJphHSKfa1ABX4Nq2j6UrTDNmvbE9t0jndCow7au+2W/iw1JhyGfAC
jRNCGZoSprrwA53gYeElH4UWfYSc9k3DOYQ73lVocJ/nE72DhsoZkeAPxFoNWSZXgUlKWkhNQHMt
t4kxa1uNG16Z6sws5pJBt+palgmAyEEruOnD5rnMOXqGsR+vcYVkcAKHiaoSmg3Zn8FxBplUmUbT
dWp36V3d41Kf62KrhfrA5IbQjoyOHhIsa7LpygIujEEZZc4u1vOeOIVYmZNAwRrGJHx5yVH0vjfx
5KEx4xe4HpMGr+whhmmsJm/GPjQbW35Lk38Q4qC/5cHArIdT77z66Te3UIrjI83qByAEnyqz71yy
CmxP3hIRQqsXcHIllfZdAVWWuWDhEHrDpQUBGf6OOgND1mdfymGNLb3aFMLqtiEIgsPMgyAhtGQt
9ehqjtnGACNT/KYQKGI1e9SIeGDHrS5muSxbs+byzH+oV00KrFiT11kzQCUwnREizig2XgQqxWrn
iOt5RENh3p7PXqTUsP7M4OH3jf95FP657ydqEWYBg2Vd/2x9NiSYsIXJnPo4h9OIGwC2Vtc91xWg
INE3y27RRMqn4Cl3S7bsIpn3bDWwsesvbl0xlGLaMUY0uqrM6B1d2+L99pAO0AnltKyN3NH2MmtQ
PY96sa5Gxd3Q8IxxOwrgLnw8A5nnHonEp/e4y6MPeyKB1OrsW4GGZ4PvlThJe56OdjXlJwxgKegG
VZRiw7PG7jimX4JYrXVwdRD6ix9NWC8Mht8uxsNBc1G0EN7NUFWBUYw0h553Y4VucIAZOv1ziJyJ
gMGggEGr8vr7hEglGaL98KyqbWk5XGcMjm0PImFLiq48tZ7i88YLjr9Oe143MVI0/v6x/gUo5noM
M2wTFoeaJvwKGhmui/uKTHs/cbAqxrY62pPKwilk1+gekF6QUz3o6yGLjb+Bq87eSJ8WFO27koMZ
bBhgSb9emjdb9KS19b5b45hvsamTd6aJu3jEx8FkhPfS63iUBVAiUL8kN+WQD/deJf3ZmMTz77+G
P89ToMvoxNsaLhp7ZuS/3ksve5zrS/QvptoEFGCASzgldDvBl7QIHQjZXX9/SfXxPn98IS0H6gnw
M4X3r5c0ik6n3Qx6vw0Ml6kpkU91yP8TWfkwtdixwa4aN8XYZPsYOvb+91f/C7CQOQEArYd7lRpl
/Xr1nC/V6PCt8WuXYiwF0FkXNBR/s8L/4msFZZakzLvgnn8aU3GaSospGYm1IjbXPQT0TZNML/DI
rlov+zp32On+/nOJv/pg2HqxcAn+BN3/9MFw/Q0pSyA0h3HSXgQdgHncmc2BLQEoZ3QfIo7PFVRg
sD2m+PmUzf4A9R9HA/Q42RC/L/8wN1nh5WqOyAifxQ4I/GlxkVXfxJ5e8Y6lyQumlvP3H8VvCjum
hIb+NxQjNWX8tLIww3EcE9RfBTg6n4DgXjqaHRRp67uxc9WgyNwUGvkNJfbAEPI5gMVgv5pZ8ljp
+SHTnccmtrXVEI+XvUzfO+bYq8WKl79JBv8czs7XYKFBJ6SX1WYI+zwS+WlmaeAOMEMSx2fbG8Bp
Mopnu2arIW+OI1PKQw85KQIk+2J0VbVrSx6RhjMFAvbyGS43wBR1HFx2KVe4WOLDbxtXo+iILEiS
b3a7tzodk3uTEqRzDkZr3BLD89GHUaVUDwl+DSEZFiA1zhKSX1AwW1JTxxTPBzQTWbI28y5ZI/uk
t9ZhS2KdnhN/hbHDoKAsNbY7H2zJojeH369aqXb6XzcDNUmGmYM/Boroz/NcTwwTOhG98kPS5Vez
RXAadHlyRMb/Iu/MduNGti79RCxwHm4zmXMqNcuybwhbliM4B+fh6fujjg9+W65TwrnoRjcaqAsX
bCkzmWTEjr3X+lZOX8yrIBaQBEPrIIdT3UOnXz4mrVUyV4hOm/xF64Fkd43qJT0qvdM2js6UqF/q
5hm//rbJxXxFS4IAaJ9OqAAm9sF69l4BwvfrOb5uumQio32FDf/7kkIvg3W+ptikKCW/IPC1kJ7a
sCq8+rkzYXdLNz+T2Vuj8/EIFM7ibT3o6oO38efN70H+4/bCVK4jr3s3ds6T2ULBLaodUZNHc+DC
oO6/jYve/eCFzD9XGkaHhh/grEOq771faZiCkBiXwRqP4B8kCXWPMaULEKktfmQIREIPuNM6XrrL
1diVK8DXvBlCvtYRarlwUPIbAP1vyFXNs5dz3ks5AnJ90025nBkLDu/0t8+1xWzeymjDaRFnl3++
8f7uS2OAxwAUt7Tj/DE5Lji5mgaRcTvZ5EYIRieGJDKqdY6RaTXmI8rjofu+nJemlPZTV8kfWJo/
WLHeMQ+WOwdZxIIvNi37z22CaJTGU4ahdrpdvqKgwWprEnXYZbW5HqaPXs38Uxjg4VD3Aua+aDFB
EPx+o1ql0fq6ayrml2Q2p6qcwmUsOWP+WweGcGjgUlDPS1QUOidxnc/lM36e9MrNKe5tXXxTvjEB
nSLSuOfgjaU55WQOpyTUoqa/Sqzh+p+/pj/3Ud6xswyKoTQsMpLf33HtjF4ORUntiBiKd2VDQh1Q
jxQdLucnWtmA+fXsg6Hl3xT8vBp3hI7jlmX7/ZOUUToMZWViAk1obFalZXMQH81zUuJHlXlLP1UU
OSfa7tDQnjoFFo3KpWdIv13b5Gapk+RECyFiUBS2KfhHbgADALEwthXVrLI4YkpoRaHltM8mpnlK
YNoAhcHByWT8vG29ZTWLHfq1y/jFxioJl09wd5YAP+zZs3cihfIbR9ZjVpkzUkCGeojC/dXM0GEr
vaWYj4Zg5ywTSjSxt+NAn+RttlFmto6YO3hZTsJu3PJyo86EIvqC3WNckzYzwHnnNvznr/Jvlw0X
WKjBxQUZar+vBvw5lrXNsiGmVt4QnEVTgOMLfhcwnTSWS/ZADrlxYH6jbU43G4vFphgqkv/Ic9sU
bj0cvYke0dtan0NgPMRTrOiZNpDZ2tb8/DbatJURoPnJ6yMOaetCINdH8+blpvt9z/JZXyleUZzo
REu/W+9rYTOCxbe1KzAjrrpxKMLcWx4JW/YnUQf5OvDn/LPtR15oeX36wZ5p/7n+grPwHAvNC1oj
cA+/PxSBP6bBMBblTs+YopU4Xm+MlH6/n9EJt6rAfiqUk69jS6YHojh0kM7skCOZCizK/MlJCyIv
sSOEYuY2Ze9iouQxAHIn+4tudBhsy2fwbGQULPMHWhuGRp8vIuBTRrJ+dtQyDXBosic0JXc6PtEQ
fxvt3FnFtzWa1ic9c0KlB+e6J5nKwUiwBf1P117ggRSgZfRM01/tJsl2hY/AJvUYN35wu/1ZWUAm
A8xgwJJhV3aXq/hL1dUzq0MuTtwZfgnaQgwIctCdoWUwEVIkIG5mLF8rGBiHUcecMwN1guD3xPBA
Hd7GMLPeIZyqA2vNbn2bLetb5T7Y5D0xF1efCyb6oZiYRXig/Hb//O7/XPd806Wi4LnXOaa+PyN1
LelsOY2XHVSynRExX1yWinSiHfnWjcqi/INV74/i2eOeoj7lUAZYkY393V0lQWRMdcpJkNa2WpEF
6q3iZXL/Notp3r7ejqFQz/qCkgPRCNlfzDlbzKRWOXabuqrTjYOYBds/a84/X4/3G+Xbm3Ooa3ne
FtXQO8McyawJMVpFuotlZdEa5D0AgmUKwLgsW67Kf/1yyyOOUskyOEz8se2kymkYRKaYQ5e7FkEv
Tk5WpIZ75415+s8v57+/Vz3WOFYUFJ0I2QxOjr/fq7LumTaSbbyTUjrnIO5t1sLaAwiCU7hOA+Aj
KRVJXBAyZFGG7mO4eHvD0ApE2bb3abDz4Cbpu71rddeN64+bysWbZA8Y5wee0ZDuSnPKfFXsgmFy
Vwiv4zOsFpB1fc50c26LLRw+mvE9hmRm17eQMJMDhnNjWyZNFWqlmYeJD12CM4wNZBi+RmgLhyBF
i0T2MRq2dCSrTS0qe5cT33dEy6ExUUmviRrDt48cDOCKxTUkuvTsVlpCZEwqrgHlm9u51/owK3w/
7CR/IU3tGzLxcWUMVXc7Uaht8yxKQk9yUoPa0NM2hBzYUXMTosWcOizS3DoiUHXQgaVBEpJUUGwL
ZRPgnNQ9jBFsjXTJIgsuXOXvA9jLZ2y4gv7uvWrtayFBvwDgb06+q820f2bjSzeQnweJxvngQbPe
F+poxCnCTES0rEo65/Xfv+xAVDgzM3Z5FBT+/u3cY2WoRsAQMNmmlkrMXL9WFdmvkRoWVshkb0y1
fIFlaod+3ZK5mXTU9V7tEcCbyZfMTIBgID0kLGwgqJ0baDNpPlmELJChXdTFliECgvvlavvWrD1M
5WCfg+XXJ2V7jdXxwfFQmwyji5IEc/2mq/Nij33d/6Dh9H7zQvbHA8UTTB3DQqO/u9VZOUl0IEd2
K+t5V4Mao0X0wdP7fvF8ewkPheGijDf+SIbgFObQCBA+goGEdNqe9iuZgBwzFBlLTYuLGn72R6ei
90UBL8raCXCFDvuybLxboXA9uokrFxoG8IUNw696rWa9YuyWonW3GOlh820OZa1Ha7tNmw/aWsb7
2t7DlUKBbFLA00+l4/L7XTVBpeuTvPS2nauIRBqTxflMoBUMTl6QMMiDClp/x2r3QNsh3WW22z/+
8zL2poD7tTB6ew+0yCHZQ4sI/HdHUB6b2jNrDdCIm2phP1XNPretmoO4jt+ShPVgHed683XU5+jC
hbQv5YjqtGhN/17D2x3K3qvXzWAn2y6f/We9MbmUVUN1J9U2T2V9N8AkPDi1x8dppXeuiBs6e2qo
nkyBKoGQBRAtQ9DeWJ5QuOe07IPiyzG5jr99RgpYWqa4gGDWknP0rvib4ta1K7bQbcdTdR6setzq
ShjroC/749uHCDqZ3eiD8M6N5C8YPEaQsUjOBh8DBZoSLLToRawtGYl9IKQfemWi8VzrzWGczR8K
LcZe610kZD4RqLGwblMztzaqjvvjPMtmn1VujQIA15o7AhhwnGajOdhHndmtNpnbzih8YGr0ZaFt
c2XOYR05KwG0fZvWVXMZ+cmtcvvFmSLuJg3HsBsN2c00q6e5TiwWoe7oDNCpZptkK1HJ/sqMvfZZ
Kz9C8Fl/bOxcTprwaCo9WsHW+7OWCoIonjk3bQEw0zvptHrtJf05FsM9vBecwp1tbOcW2EPsTtHa
pOO1Thzl77FHwqWI6V7B6TfWWcBjlhS9PAGbAHI8JbBbYAef+C0uyC1S3UfNJkWzJYaei+7uUr1/
mRMVnDjlwetokew5bWNvK7OCy1Kb9VrD+Qk6s9sCXnrIaUiH6QzW9Z8fmvf2HXhFBmdunljoTzzA
b07NX+rUBOOdSzsF+1bP5u3jUfhijgNDMN54xA7qg9oo/XbXkuFG2GmuIcSp5MlICHuebFiXiSQa
Ey5y/hiLRd4R89ilM/QU+MkY3M1BcWNiRiXY0ZhDnQDDzUTY2NqI/QT4qQ9Vre52BG0baAns+6G3
nm3NgAoaePcQQL5z1ulWivnUiYg8by8QbVyJIvZvWurJjczgTsH35zheSIULfWx3Lr2Bnc3Ib8tg
khu95yXHILM+6OH83b3D5MKm6c3a90dROI2xZEbJvdNnzg/cBv7N8qzUHdbvwRD9B23cN4Pquyff
ciwUanRyzQDS5u8rbN7Rq9K7lhUWOVWYMId+RlgmTwpeJPZV4vMsPUouBBDKk+nXLHg15ZcxcNHH
vqKC94dozTTxUx9EZ8LxrqLZIU8Zlc/oHicB9KGaeK77BMkr/3atqAlDAlOjdZ2wfZgDTzNl+4+y
qeZbs0TMZ1Rz/2oAM9iT2WYwORyLc9Lo7oZkSLGVSOIfhz6r7xj4A2A1ZX+r4ngGdoJOI7UNWlzu
XG1gf/dXiLmCAxPZ2xZ/DKCqiZVjDrqr3C28c4274mrQWZYbBdqBsLUoZGKaLYV4/+hM3FtNzzaj
yd7P147pJduyahfUuJZcTL0Ejl0X+hcrgkSFiJlxtpSltg3qnLZzL7QtxF4WI89wN5JeEBUoD8T8
wYP2N3cLNwm9mEWPvuySv399jetmaS5QxYIHWdYQrl+tHDankow6z+GB+OcH+8/XY6qIIp0Si4O6
8/6U7kLbqDUs9iQeQorpFU8DsrnggObI38vZqT54Gow/C0uObQ6fjYAX2CtesLyjX1YSH3lbRTq4
vUXHZG3ihZ5gGL57jnMGUQW8iBPo1ngjyGBXZVeTuMRy4aaVtSlzHn5vKBgFDF60JrA7WQcdG5Xe
81XrpV0jSjDanar4KLFb1nd5w3LtFMvm7kSQcuc4uyFZ4SuEaGNNEFeE4pqbzjWyr+gXsYK6qEKT
MtZCQW/yAQZBc5hd/yrrZbplyvAD7HoZzoPzI/Wyr6bkvWt6O24n/PIn+lrmxuhGGitl/dDM3OuG
xsr/trWqlFKr9oV8RlFmkTeD4N5A5ItGhKcJNqC/k9yCRAFn+mlo7XZXustuSmTMWijqkpSAzHWX
E0CsL8/qZLJ+1HlHjMLM+pb23OdzxS2e1nWzRxXP3pOy7Dapqp7iONW2XDdrk9W8IeV5ZUjHZQ4D
TTIFmKrx599m3O9EvGvb2iMkdVWiDAk7cyAKFGnBalp23USazcGOwVHW1DyowwbqgXacuYhjc5Ct
7l8ZFQP8LuN/g1b4+8bjCS0k/0QXVBBFFLRhUyL+RvPd7mrR1JfYQEVUwLpjX+BjasAKL702z6Hq
DXAGU+nu8CgFB5MEiw0xH/4um91Hd/JecvS6JFzb5oGnsz/jqbE2rGDcxQ7YAPAOlCwxZfTb4w7l
esYNAQIJJpUKwbMnhAJz/WVgtRza+Trenq7/n53vpour8Zc15g9D5033vXuRr3U9/erf/Plj/3Jv
+ng0A9vhWKVz3SmoOFz+NLw7fzlLW8f5aVxf/ubf7k08mjYzcebGDLDoLVLz/nRvGtjkTTL2OFJQ
ojnMzf8b9+ayxP6yg1I2Wx6HPjqGsGn547va2VHBpHeq49H2nc/R2K0bf0BZJcDUZCSdrdCEj1sR
eGdVWC+/XKmbf73IrwGG71bjP1763bHTBMiRcgqhVLEhDglJULZM5r1Ko29DZfgf7DXvx5q2h0mC
TZpkBhrdtmlysX9dipOoZ8Gzi2nbJ6l9FBW2tCDx4JL7ZgpbQj3zwCY7vmnq9azzN4HXe+uU4XzY
u90zhXu1suclmTa9mVrvyklGKmFC85BOfKqqiO27amOGwcnJsMCS/PO1Mv7m7TNJ9H00Gph2uaHe
7ZVmnZP121c2uLEWaZdlAZ0sCZsCAW8v/P/ZWQ8KLRqUrvEm6JL4nhPmtTkuQcmLHlPvqucUiO06
8fXPlN1nadk74mq+CY9oZJmDZwHhv3qbSbxJ9wofCJIYONCUkuxhWhkHUZn6g1bodk1adr0vtSwk
rHflzbeQltaJjDe9I+9sJ9mLafjWpOS0D/CfuhyrCZwVEae3nkzvVDbd29X3qbZhZY2rL2MMkNCb
3ClsEV5dlci+QVKp9BD4XXcwpYsws3HRPvl8mLGwnuzasHZmZooHN9VviQJH9hjwylbVZ2dTjNPX
JEduWYLT3REXjFcjgc9qVwXYeNcIFkhrF19PNfI1Oxuqve6l0Ng9YkMcLQqOtjZEZ9+HcG4HSXMz
9JG9n/OG7Oym9L/QD/XYTuPy2ndABnXBkpNGHtQXonSCDWpm85tyKAIVtpBjb5wGUw4XZNCEM+uL
4Dmx0nLruOZ8LDpeQnep/nqaelrhqe9xnHyPRekeBgJjEBsTNcz55BaDUk1ImoRUm32OfXms7OBR
9C6Ufb4apwGnYjT8gEoiwmZyGnNg26srgkI2THuxCPB9//MNabIA/bZwYLjkaMTwiFuS5pHp/P44
BaI0KtVOxqbLskKEMbYFhHJVC1iBFGO1o99kPcSxOZ5n2WlfZOQsSWQ+Iu4oJkaT5uPjiDJxXqKl
hq7zX8fCn+6tVM/w5EbN2g0a/U5aZfqpqbqOEJRI//H2Ef6P7Vf/r4YF0ztf9BD/meVy0xXJ12+/
b2hvP/KT4OL+xemOjWsJB168yizsPzc06y9WKGR0vkvvHBUhS/rPDc0iB9EwqIBRlrClLbfLvwEu
Absg8ih+kGkCyjfzv9rP/HddN5v9FFstx0FaXvy3oN1/XeeFEKkbF2ax67q+2deMhL/CQlQkilrR
jZVpzWmo9Am4mF2e8NbJFTEMCwzST06BzrGxQ9D05MNS/Q6hu1hXtqeB3wBrimZ7PDHxkBsigNxV
7TjRESiXWIlx/up29k0JCN3qzAmPVn7SNEiMPMXeyitpBmCTIdCt4Sw5x0/A4r4T6s0p3MmPaaOq
HXQ8gywsPR23lWLvxd8Wk9HlGY+ZEyN4qFKZHa3ZLq4Ujpxr0hDyly5l0eXM536bQK3ueb3hmu2c
9oKtCZ411xZPJkL0da31ZARNXRyi8Uu/kDeaMWbkVfHeiZxiO1Pfe93qDwSPiU+InoaDBuozJIIS
Il6Rc0RNy6/pJNtjAiL3MNT+eI1c3N+VcuFANQ0RZ6uUidONJO19r6VucSrF0JGT3Dgj6F9IsLJN
zMcJ+LtAPXUfJ5a4NNIm9DEiB1fLvRvTLvpHyOzitcpibEPuYN/muj6sSsZxN7FfWeuxLtUmd6P4
nr6qeQBP+JR4fXUjndhg6agcZFtRd2rzKD730i+eBgItd7GuIx9pBLGDAncAKNavQ6XiC1hlAq2q
GJjjqhy8/p7VPr94Sr5GGFjpCqZUQ51bPbsxbS7NntQLcIMfUzL5c+gF4ydpqj2svWOHVG0TIxq5
7f1U39DDSW8SbwiebXdUZ2NS9gnOlXXoujn7DoO+XzVpDaG1AeN9mQpLuxSzWrZoMpVflNOhF8L/
cWhGWvE0WIdjrtvRZciKas9KTmIyE9ZlHmpeVZP3ilDYMJ+thFfWGbzeNyTQHzOHuSAeLY9MZGh4
m1lMQqxzTRXzii8hv4ElmV6A8+Mo0ubp0Zwz47rIunot7LL6ZEAnvmSLz0bovX6Gb9mHAjbimtn5
gHmJL4gUGDO4yofFoCNL1ex1GVlhB9BvlWnuj26w/Uvbee2G5l2wdVtiDyVxL4eWXeZC8MijgMQA
FNBptzHuhS17mPcQkKG0JScy++pKreL0EuO+d1wtIhiNSKqkZrRbzROh94WmrccJRL426RWpbKW+
sWf6NiKeKjok5bQ3q86DPoCsMJ+96wI+SW4VilDCWV1FkIzw1/m0FxnZTKPazQjcVA6qMIlw0E7F
ejDLb46cdoQqxSfhLBz/Tk9vyV2LCS9r6l1K0JRtpPbWNWri8KK4OPmm7n9OITeQX6xjNzHiarhz
C/XZdoGizGLjzM25KbyXpC/cmzlKfdCGtb0l0DFi8Vl+Y177Fq2yIWNUcTc09p0PT5JWIi5kiszp
XmDWX1kDNiii7Tiqxvl3yykvNcbpjQvXe210hFmXruo+oSEmbxM5x65GVwilnzy4ciqME3Gf7REv
uL3pWuW9tn4abd3Sta7qzuJhoozeRCT93CNo5aqONgawKRhpC/XVunTKect9XGyQHXFSIPhu/CSg
dhwsL5EbvIxkNeheeRw9FDUeSptdXybTIS2dUawM6rhDM4sZIQ7oI1+gQhAeevPIEt5qiiasazXf
9pQ6kgYGnF1Dk9iFgirbaJGHNX7qqFo7tH+476xvKjHggE5pOZ3bWjfwa7TjUU/L6BOhSvO6L1N1
boOhP+rVWBxx6NDmwRj4bXCK9kSlpuPLSPU7HnKI4gTbRogcF0P4aA7WoxuXnrnGkqw2aTHiEIts
6V8axkr+RsYg7pOeQLUxcsX3McgfraGqwGbFOy0zJhIJmAnYpYc2qnCe+0K77ZoBqwWfPOIc3sfw
DWFBwRpkSPVcExlPzCDN32RqCZgok8WFmMFvSmh9bqxaYqINOp7/llAqUE3xri0c/aYBKJbqcMdw
Oq21IoLBxVGtS5xu3VnELeEUP8FDxQod+PfF3I8np2Tvpktkt/dSc0HSdsN3fHEp7iNhhFEEnKyI
bxPLtcM00UYYv329jhmDbttymHdWF6md5bCC07WY12PE5I65UP8aiPaWUdFj4qo2WPX8grWRqukZ
/CcOJBHlibNnfmKvm5meh95iPMuietcuU6hZj6YvMRX8ne5m/YnfDr6930e9+NymrPpZ/GBhJjdz
sSk1IsnzTOQbArb0lZNF2hqFp8TfpidHdHH2wUvcihRWy/7k5IH1ubGSIYwrPz2wS+xpu6h7kWn1
bqq6CHNv3w8kCstCPY+4wU6VO7XXXj6pU6l57SvpsDBGnXHZBicOGWnOUJ4DO1bUJrhr3Jg8XHQW
rt6hKu0v4GFP3ZDMFyMXHGMk9BSelHVEdt+wCqoYFVqUsKiOhn7UqkqsBqs5E7u7zimFV6ZsDQxM
1q4k1KSmk7lqq8RSq0UpGxpze6ghyo8j3EuTSDyScZNXo5kCZ+uiryaNqTHrewvK2Vn5r95oDT9i
b4ou1Zj6qyFyzJPTwoXe9QPjsrAsh/brzDaEiVL3QwWbDMGSVDAzXVp4IQOfmfmK3z6kjNy0MJhS
xM9DFlcM/3WQcLRpCUhpZOi0ee2sYnPSn1h6krBSETjuqgDKYE7DDgI/6U0+8DgMusl6MqTLXFGO
h9wH5r9zxRTJ0JLNgyJDbmwq/9rXnA6VtK89TaAaaLlToghdvWZqHB9U7mXgGjxmfXbG7m1ZeXBL
6vUTQ7ebsujzTVHICyFeW7fz1aq1umdE2Y81x7eVVaTIppyghLZPG4BtL7gqopxT66Rn3nPiNBl4
APNAaMpLIoHVlWIPFu3Uxt5+aGkODpABBWrnnAD5FC4CZHoWDAISy8Qpt4Ze7Uunu5k0/S7V5Qsb
2tNQ998bx95VwK0uSohqK/CerN0EiZyDDZ99lyoskqBIXBwn7jxdqcbGK0oWb2hNdnWJHAm3ORIS
+6nXYLSyu4uAh73yVDUYhEQwTk8YZD2w/Pqkn4BUR5QN+o4SvjgYBlUnSG69TOOTNjawpfvB2lco
gm+p4qb7MsEdhbfUuTEwuDt58t0WFLD5aHenji96XWUdEPamPEKG0FaN42QrpzGbUFdWcMTS2oao
dca9pWHMKWvtazK5aj9BfjkTm8YWHVUuPjYCYIGEjWE5o6UB3GncUH5XR2J+zb0qB3GsouSUa2P1
uUtG76mPWP/MPpYWrmP8+F7b+nd15avrACvzbkjKr36Gj80JaoXwM49Wo7eABeMJsD02MHK7q750
wtjEVj3l1Q5DX3KMdEP75MS5/1zkoBXjSmqPhV2Hubuc4J2JlOaMS/eKC58E3Nhwb5lsi/VIeB65
i3ndHN0qzSAcY7RD6rFHcehyUXNxjoSmbjyfTUqUWYiXpfsEALo6O7Fffy7jkhhnXHnEJSCyYeEh
PA8uPnMmcmS4d+JoLac8WmOo0raECqOmdGygk30XPRaTrG51YfohKL7ozqqVdXFjoRARAkeHelN8
qkXdYFgbYI44znRnavAe+7jNvpe5geU0dosfAYl3u3FQNgBqKmjlJfYZE9RMF10r8q+QouUZc1ri
IO/xzVOpT/G9EFR5hFBW8VOjZ2wZcPtDs4vExcCRsBNWrl8Mj4ZT1wswSbJpDtGcG/RSCvGlIAAE
XIJnovAZ8u921QUXzVfO04RAatW1CGJcq2s+B00l7lISP+7LYTSPAw4wtjwj7rn0WBHJ6GQ2YtiM
pJplcy3kbZPY2xl7OgVb0zx1ktaM1ozDxQPBsnaHCvVV0zYnkBkeONrodWBGbMBgBFJeZBOl22hF
W/pg/mdjrMkNBk5wN8wobMbWqE547RjEZK6zn1rH+cKRtdrMqCNfVRuZYcAB8IBlp7x2RRxfekPG
e4SyFOR2AScRAB27BvIwcNQEHJrxTaoNBch6KnM/DlAbawYJgxhBLuZcX+e6NNEwYyzpvTY/+nNK
+1CZwaGljXl20Jj94IMSIBQo75R6iM/AeJbRikSAH040v7R5Oq18nTRlNfgixJRirHiVGKs4Oos8
KyJIpOLSpymVoxFcmWpCTuo7uEGh33yKtWQKhzn7jG19xs+beFcKUFHuzMm2QD25Ls1mOC2HfMkY
+bUa4JL5eXAq24BUqFoGoZqq5EmiDMObNhoilDxzGHbdduXCcwi7rjbOAPHTdWWaxSPZGUbEWa5/
Emiw8Mnr98kkoq0dbRlh7IwURBRehNtkcENPDCwuEyW5rm81YUyXKQLgDiceqsg0Xid2843bc1wl
Y54Q0oAkw5mgvlTQxzlzE9pRzzRhV6leqDWiXW7ZiMStOnGvu0x+nqV+EayfG4hN6MJB8TMbBfzC
QNDERjxFez/JyVi24/q2V1kc6rKp9n0TzIumI9+zUyRHoyfys+pz/7pDDEYABfkuhSOuemLlBK+l
i2M8dsawyuiekRCWmGZolCQXEN9pfjLx0I9LXneVYZLOykysS6WRRJk6exA8qe8Pq070Azy8xEc1
oI39feMkxec8Mnl4LGlEL2QnzBq8CG+EEC8rBOOQc27z2tDuRtshV+VQ2z2wgFbqLWWm01/KPC0u
CSTsL+yA9UVpGcdcMnnWRZKiGWWIN5LArgXPnTVHT6ZBSFbVc25ZEX7D+TQvyOgpkCzs3Dxod5D2
3DsMGulxat3u4Eylc2eNtr3rerN+gdNBqKxL5tFnEBfty5jnMwGtioexZ/Hk0iDzAGl/aHmTexzr
BAm7NjCZsmkXuoP9zFl6eOq7OL9v0S9fUg/5vzSKkqmWXl9bfKe3Zm7yZma/fRLm8KqyxNxwEoqP
Uu+N6wl2/7EbI2T3ltXTN3CWzHDCVq/ZbY1NboNroPrI4VhrZy0h84TRmoBnAeQ7MCqN9Bnk+Csz
dujxzAmPLegi797LRo2RpgmCvijzKz3XN2Y9+2tdOKxYvYj3LgimY1AziA1a/JNu+rVWw9U8xdoq
GeLvAAsB7FX11ZKntNZJaFWkCXxqOPz4PMPYRaYrnDlfyqrQjnEi5e3/lr7n7rW8fM1fmzcC9UuJ
RSkWEsr0/4XkVYvmIdKP/9zRvI+Z/+a/djR//sjPEZ3/V4A9kW4h+k/7LfPxZ0fT9//SFy0Qmv7f
EySJicTRiJzR8hnILIO9/2loen9BcuOob3k2PdJl4PdvNvfPqRhY7/9IhTR+n9C5AAws3tXC0qPV
6tvOOwVfZEm9GArT3Nu91I5zDSuEEMQrOzIVyQeDBwJrVqEtm3IzKDE+xgvfEJgFKfWg70MjwC+Y
m71PTdtwwuPEf1fk3XgoNdVe5d4oPxi0Lf3V/5ko/vl+308UtQmkvD8ZSHqzATkULT9l0oFzC2QL
Co8d/SD9ipjnaPfLV/rzyv06T/yXBP+fXvrdRJGOZ66okCZMyg2wm7FNLikL23YmiWyDkA01Q5BR
f5Apt0pN53rsccG5VZCHaIuYjHGo2U9z4axKqpZVGVQ0b2t5TauZMZTi6rnWeJ1ZkbgiTWdax15J
9Dwymj36hzvVJ5s6ix/TRHfYbCqNkY3iHPucxtqEhqEaqptS5qxh6N3ue3aJc9qArCA6MN5gJM2P
eaCXV04XxFd1MQ+fJcSu0CD14hwbmbmZcrbAGsSNXrxMvdQPjF12WptoqwL8QigGQ3+0h3I8eH0x
7DILTkw0inibeN1LUgdEGgWl2T1jYdKJikb6wsDGg9ldxYgLnRKEYvLouNF1Nw23VaLg2A3hkGnP
5GIEJ5ig+XFKgk8NkZQ78CunerL1cJIuHqxZXOV5TvFCKyf0p4S87y7eWYPKVr3vfSXgaw45YkCd
C5IjdRrJ2P10PerS2ZJD1eIcAxekSas9qn4cYexRa0UZwKpotrZjDQ5JlKRgjsdonuhI1irsOT+Z
GnsmyZhkJ6OkBLS0Za47hkrkzZb0gn5HEwWR9kCQOPtWGpKYXm74YHLVxKpFsOrqXwZRi40ryJVZ
OUZL0kYe30LHtI48NXAuulOEYmdl+yZdSTk+jIjibzEikruUY9hSLrQee1C0PrUHcomHTVwDRagD
vhNZlvI66BBZ9BaoQs5tDG6hxze+Gx3IFdN3bSyjg20rkr7MUm4qenZrUC5QQjoVhz3M0QcOREe0
kxttEdgDnT3MVm2FmYyzTdxyN4+OhdRFkZjU+Th4CO6ZToOQOm3BNt7pff7N9oqHNiXVATP0rmKP
DwCT4aIKG7fDaZxxLZ3BJnMh7TEqkFCD9MhbF9gC1hlmQnIyFQUVZOI+cPYO3yYSyGjnOk9FAfgN
O6i/kmQ3hlbWJRgONX8dZQkz2ooDnwdRtuKUgvhGP2kC84C7xC+MYFlXJV6W01Sq9J6UWOSTnsf5
xL5fuoQAAEZtnU8SBFuXXHBOmHCaOUq0Zdeu2wRf9aSZO8hIO8ekarNdcdeZ9Gdp99CoTQ9V7t/F
5P+sqml8aMf45CjYOC3BVJWhOKLPIc3+zdg8zVl17VVGs/b07k5K5T+aVRpvcWtuCr37StImRwpR
X9WpGZIM+NBo9caE8lfJ/EU3SMRkRBBmHjC9Ct48bm37Ekyu3ME7XMVJdRtTxWq1cT164phEhUlf
utLMVTRN3lZEBGKsSqtsvhloQLjuhX4/NtMWwKJ5p2F12ZIopfNs9+NLz0wbKF3t5itztIKvMov5
fz4W4uTG4auCQrNmiAqJp1LZlh4WAYiyy1BjWQUwsbg4mCnwQdURvVYD87j1I5PWBWmnV4ledfsM
1tTxf7F3ZtuNG1nWfpV+AdQKzMDlD86kKFLUrBssKZXCPEZgfPr/o11d5VS77NX37YtczrRTJEgg
4sQ5e3/bZF2k6BVEaZDGwuo3HCYxdA+t77FYKDphZqQJQrJ1Wpu5S1t6KF1xo7uj2PlwMi9NWHTn
oTPrbVIZLnmoiKbztCIWdObIq3IwVE4TnogW2LeGOa1sJ3uYylTts1CxP2TWUzfN12w0N4PGGenw
9BBSgGlub43G6xbCo1ekiLIKDBIIAGwhUPBhC+6iawmcaq3YaBzMVq6gL+NX0n4pqKDccGa9I+Ae
+Xq6LYnwxdCJg7kd3BmAUvXlRiUhMYna2I4JkIUD0xaj3atJZ35lJeGdm5i01eOQYCpOmrBT4341
aMRtFnVa3nJGu/z1PnadnH/bxZiiGiQh4UmhiPiGTNA1CzRPJvUt8ru7KimcLUZyYH6x/TuG/z+X
Fr+OSn/bqn95pW+lRabGMhY4g7Z91NlbK/R/6rPE6C+Mitgw58MxaFqMtgWw/brywj2rln99reav
MoLf3wKGEMu0kbzg7v02rfWqckhLOdM36AsX2JdlaMhqJFHJOaGtRJnSsmr07F7NtdpmpUZH7LqS
wBsSzDHC5kBaO9IIWTGlS9s79Cb+kpkZq3ykl+Wt7c7hNtNFsoQSHG0TGBxbYxwlqMSJRbAU+7YR
pOPV0RcdOC3QkHigNC/ueB9kXKn8/a+v98++2z9e7jcVT2rlOZobW99qtgwvsh1NCLqeXNLunBd/
/VK/yqv++cniHMRVjlKDMfCvc3Adb1VBepe+TTr3S7mEG0229YaKuVy2dv3y1y9mXm+V7zctNpt/
vdo3JbaWcHYfq9TYYnQ6z51tPptF3O3SIfrUE06YjZOpMy6MeO8pY96CdjWXBp6+gIhTdfTTbpvy
TS5JINpAwhjXqexg4YcsbtGIfihJ+Aoz+8olU6m9NKaqPIsU8l4NyID4TJ2fRictkKZ2M16LkuZa
nljUKX99ndfL+HaZVPy6g+bF87jc6+38Bz0vDmlHaOwjW6exGa842BQK04Ar7TvaOek1IwdLkGd/
81V+cxL99l3+8rLfampDEc4mACRvNcvm0SCdyiVRYDm0YQbdTWj7coKJxlTynF+rHHcAbvPXF/6n
b4FF6apl9q7omG8Pai5QvNZFom/NJMcQxJaY2PLo+RgiQsDZoFCcE2M56k3TeWPVb9Z//Qb+5Hb2
//j6356cbgBaqpeRtVV592bKZLxVZWjui8bhxtaiv5E3XU8K379nFOl4IEGMkSz07WrjIYHHiCJ6
a5syvdGHbAgSGarVX1/Tn6wGV937v17l2zVJQjXwSVQEgyoO/gMXSH/CWik60n/z9f3ZK10vRRie
zWn1fywGtQ+8eHbENahnCAZPf87RvbPP/M0V/elt8scX+rYOcP7oFNpAi92E0XIyqBNhtdbG77ww
QGxt3mcRCLEAfl18aq6FslGr+m9sIX9yZLbArSDxBAEDi/k30MgfntIwHofGBcSw7dy03s5MYR5q
w9J3ZLaa29ocH6vaz5ZRz8w56SGaNISBLNwmF4FbaO+am2SrGnFjc60uykMWFc9EUTMgS4wnJAjV
3xyYzf95s+G4grfs0ZTgHdvfbgNNh5dazC1vLSJzZ4JOo8dE8hCbgr5Hm4+j74wr1AfbTsawdYak
DjiEIl4fM8p3u8xXfcFy2vbljjI1XKUMHAq8eHDlmERziPiq6yHaiaaghGMirKOZCRImaUE/efSs
tIRYt7mitqpDgLj5TyOBRzcNDcghB9+zlPL3Euf/pHd/k6RmYq9lKfnPjapHpYgEOrfvnz9l/Eu/
6ve/+c9+lfUP7/owE+PiwGiiN/QvBR69J/w0TDFRj19l4mxQ/63AE/+gU+VAiflv4fi/O1bo9iwe
md9MWzqCvv+VBO/XPRJ9MmdJHRbHVcrnQj76tkcqkLpO29n9pk6Vf49AaDqVOCDI5MDk/aH5c3YY
CAKv/26T/B1X8u9V+/rKSFLxz1yDkAxGGd9euZMcY0e77zeO1YXrpDXt+p1G7SR4zHULYGXNjHuR
tEP3ktdpPa9GiyMo9FtynZEMDMKB31HrxkLyuL+GTYjWZuJgH1g66cPEmprQgGQNBjgrQtltB0Mv
20XT6USz64MCilVX3vSBEiQw1dSWGwPdwiuZAuP7VBn+UyHSIl4Jo+/vJjmhPc9YCw9JnGdJ4NUE
OSx6nRZNabkJrHW7X3pFcbCSCv9sBK1jdlBPlB9pg+ZBmf2SFNhqKcPqB4Yy/UZyJrrzu8x99men
gd6tpTdAGfRyEdPzRCgVOeGjBjwxRQ2mVbvJI/a0DKefbmVDmCgIN+hTg5BO4tSHIT57cedis6Rr
X7oMcTS9xFpTkLxQj4i/BuO+9zTWT99A5Yc9005ROuRF1cHONa1TWQ90sytrQdUf0ZyC2zG0DTG6
tcMAX4kycGr0AOT7vDOGwHHgWwdhyyUJNNhbzXYDOxjOAoKEJoTu0Zj+BvS3XEh7zvmfqmFhhHI4
DW3X3GBgULs5bK+qdNkhVKFgrBCXL/QGAWcXkXeuhsRdoXMx4R2HGDftiI6ekPraSkx7h6aUiVSP
s1lvu45Bsby2r2IDrA0w0M4ujS2g/m4d0lzaw6B2CCLKwyVnCILThpbJkWFVUSD1KN+VpWZ91nof
bTtLaEtc79rtjN5rp1dNcpnmXMJhttCGRozq08ADKq0CHOEmXmEPBOcSAInFGcZzrsdM05LvxMdm
FXIwk+89iWf3Neos7+hOif5R9kbxqVyctcTD1zZcYVIIL1AybsSoMYoeWpHcpobf7NTEdFNY2r4w
63ofz0X1XNBw5rNO21rDl6viedXaA15E6aMMCoSoHIe5oFOdsbFDQBcouGGeV1m5ZOxiM2fNZjpN
Ot2tHF7XZtQR7m0yLfbuC1trAVTQI1s2hHsaK1vTFTwXF3eZaE10G7KZ+jtDU9PaiuIp2kdRzTS6
EY37Sk4AMGiY0/Nt45p0DxpXCy/T4Ikdp/SxXDgNmYUzDxQc1CHEUi68aGv5ufVQta0KOVF4CAFs
r0uLAA3FYCJVrPOTWVT9E6QHOw7gqA33mTMaDIA1qx1Wnj1EzX4alP6TuDv0AmahP2UmUVwbVegW
Z8Mh9NeWaUwA2WWDNDqYJ1u7eI4a1o7fzIdMovoEKWww0inh3OQBNPb4oTOSK1W80Q4kvpNvyj/m
wo4S99LNdknLDoXsOp+1U2hNn06UfcgivtH7dFMLDdPgZNC7741822PaOjkWAuPG6m4SlTETnJzs
xldJFsy6lkANZD5PaLPapnVzWzqzPDep+IwzHaly1RZU6RyABY6XY+m62dqAcrF2J8hUUeEmZ9ob
ajNq0jt0M7A+nM3Vx+y0/XoqNOdWTCny2WIKh5tQZuNXUXAKD5LBSA40FFH3pqlHs2wup74K2snW
P1wmXXtgavkBXyQdsGIka0XqZD7qhMc4P5tquuoL3GpClEC4Fs+l9qJQeJVKgv/kDP2YkR20lmXf
3fmg05ogTsCKKM6X+7mbf9Zmw/ohK8sCW1GHS8TALph3uCZWNpPgRNLCaiiiZFepuDgD2A0xSpgd
A7dqCC/oaDPzAdddqwIxZWqXRU3/Q2lFdyuHTmYrnLqA5zGCnzxymha4sw09SM3R5c4KWxoFffRB
3oZcaqXtbeFJcmFg7RZ5QvB9OhrGo5dXMa1HoaGmGfgJIzdwNGS3uEkkWo9w2+VGsagKe6/ymOG7
4cT7zrG/2J2SW1hl9SZvIb4E2PiAVOAagQMWXrvB7TyLieMIDY6lNjXtJ/OFtAKbRH/NdUomzEaY
KrmKWy0FqG730XGM+0syRdkzyqhslUOe/SlivdtMiTk2C84oycZuejR3de2k1qrve++2UVnx5PI9
LUCSMhcBQfmJ7MU6y7EJPyaGo9a9bAqWWTWXsSIsxRQjp1EGv3SKBGWypkftKqvb+Rgls7lIO/FR
M2lY24WcN7mh9wc38ZdjW75oY1cXVyGfQftXZiZT/B5r3iaBY0X/vcbQy9goUQ9DZlgxhPbUunWl
O4wr7NnQMXtmK6BU70JzBsbfJe2Ss6p2zhW66VEbGn4o7lfPWgvZJrhBLfCCTTStomiHSCZdDZ7V
HtKGnckGdmtmScQlxEe/F5+NOzJuMazdIGlLUr5Pu2T2we2MjbHVtNAJkijUloaRo7vLyUDuCIz1
+gjZX2SEyzlGLFbFIzpMO3qKTD9aNWrgBoDusBwiUwX4X2W/KLQ5vhRQSa+CoDUGpBWNP32tps64
icekxK+g9EBwNvkcI4NEOBCXx1x6Vxy3bgTVOCIekA00TYmssnanesk3NKyoBc2FpAXPRGF+DPOe
D7L4TUXPB5s3ZXhE/wFWT9aPg80Yw6/KdqvAzVxLDcZDBPhgzvX0DSuQR3u9jlZe1jorgeZ9iYzU
2TqpaWHc889Sm3h8C8M6jXzvYsglWdBtP1obDAHJKqMNvmk9RCsmUwwe+MSyD5QLEkPT9UuNfdte
dzKRZ6IifTJTlCQdowyHV5iA+cVVMx0/P8++5Gg7O40tZ6f3/vCcotdZMgCo+vVgiwoKx9iVy8gV
4ZeIZ/hLeGMXqcoNhHKAVzZw0+wkqBI9PkcaDsBFFvVi79BV3IxGar77etvc9MIYT4gcOPejmQe7
RqKgs49wMl+Z9szCIvh/iLF1+yC8Xn9AChP+zCXYU4IuvGLjtZjdWJj0cJcqYe8J2SjFgvgAf0Xw
dLLnUWFCSWZMH23wN2SbggTPJ8xWsBttCw19MUGOj408+uyyEn48x3W34ksoizPiEO2BFna6TWI5
HdIxnTelmPoXCy3moWuQPiP3cAC7M6RZG7Lzca4JkWFOA0z/kKXT9LNLnYLH1MuyC+CW/uIj4W8W
WUKEPaVttxgo7ddpmMknD2vfbRiX5T4OdUHwEjZjNj8X2Sz3QfSSWI1FPpfI0e1q40M/FNaWONv+
DkyCopp0MN1gmzvmmBaIqvfcFy1nhN1E5JeYFjHelc74SUW3rZc6NwaptvOKGL/e4T4jAQRVtpAL
Vjw9wDKX3GBinVH7te2m0gwKHrKaRo7unCyCTqJiDXIcS3GQ2WFxG/puvPGxTTBvLCkYi0ldHKXN
O7fmHZReqT+aTo8KpGqV+RCGgxOtZs1I9TNbBPtbF7k9KTEwHJeFJF8hzzFV+KjS145JFBQ6o+a2
Q8wBP9h/TzGAMKvQUbBgHtoYuE3XDbLyT4oWxOvIopMFamAjgk44lZsCgdeubnr5ykM7XzSfsK7Z
Hkkma3kRTyNLLr1GpdsFMVGY46NzNbbG7SBFP75XJr7OO2AbTX6vOWBtOLnPGBeaDkfxItSjdECz
1Y5QhoxesMsCryM5yusZ3dZVeimsIXoYaz35mkF3bhhaRdWKBExyrFsh7+rJ0F+7yrceACnS0Zxa
A0nQHKF/SpOkvI8KLf4cByeFYWKZ740FET9wmyTh66id8SIoUH+2ZjXvo6EyvaBIxuYytTprxdwY
LNAU3qxqtiKgBnkyS3Yrze6Z6b14z0LXYgwtnPbBg7aibsOqsczVTBgfyV94HFdRkbYMVacUhpMd
Td3SLyKXkItOn5JdrXMTEvagIbLvbNnSS5scHeE2T681pZ6+rNgPD5We+oC5zKa+jVo3RlxLbsWR
kb2LpLZ2UcBWfR3tmqozX/N5iDel7tdPBJd17wZHIkxhdXNpryx2KGnRmMtlLT3voKbIXEbch9hR
HfGeuvHwFpV+unPQED2lMNVe9LqyvZXjT9YrtqJx36sBRzJx0SdjNp27CHYFNoloDLfXXOxmwgVL
RR3fjIY1bBvZzduOj/AdqnB/Q1fYOVtx3a4Lzd3oqnJPiZtOe+UYOrLMLr2UlmYdfWV2ZBf5CoME
vicyofHRYoTJp/BQtXPLiuOGR6BHb/CpPzV6SXddLQDsjk1bsFob2FKk0/tfKKrdRdwVydoCV85I
34ifWoItnoeUJyfXSvWc5lEElRIvCebWap9gV7rLKusrsphK0+rzLw3l7Dkv6ECNSVL/hD8EMC4a
jC0DZedh7n21nyMhVgjeh6dMB7oj0YvfyvBK3adJBhmnkeWq0Gt1M4bWsGw15LBOVMR3PQ2ApVkn
FZmD6VCfO86kH81kWHdxQVDSBDwlkF7Vnnp7yHaV2zx3YkwYo3sGBq+kMLsVoTfeokV8SjiTmt9j
J58CfewE1AWTGggP20uPjenY93QxcifzXxK3Cd/ChDXfjqjTHNn0lymqMDRQi92WKppXM53jIxla
TLGo8jIUnNgpZq3W9ibz/2MoueV7yXrvwgB5S5K2XIWzSt4nGBs2jg6O1HrZu0cPYHhLz46nK2FX
Ac2VINrz2VO8AVkn1hERmGG2nus4PZYILZ5yLMp7uw7TJ63ivpJQrzkJ9uXSu4pBi9jUz6CJjX14
tXVpfZc/jFNtHGOtKL+sYcRbk4jSePCoJ29FwZ4XkNFmfnpRxgkLHF17EJFEIzeHabTVuNH0lZn3
mh4olXXP5JSraIkktn5WY934nLtG/T6zp/rBbQ35nmoxvRU365pyOfpN+SLxhLwPSlw7rxHry0FW
LT4pVr8nKE+Zc5OW+YxG1SmsFrWHF75HauB8hdzE/Oid0nmCiTgvMpAf7+PAgMQIhftcOTRp0ENW
NxGVWoLpYkp5Q2mxzEovXye9a118jdVbd1p7yycpT61+5e9kvXoHQtIf9L5htGR44UpWSb6ljY0D
DcHVjSRiO6iipH5pXUYfUVZoF1Ks7EWKvCnQ3YViiWeWWkHpAiDgjLc+k3Z7qznzgAnHn2DVDpH+
VHLaiJllkevVg68BwyOmFUbD0QnCGUUH+XPT9JxxhlxGYWJDGUk0JpxqAEfaWyEHaiOWVrGmCmhv
JtHHr4af6A9uCssRasnMe9BkdZkqT440gqLyySqaL5mhfV017lS+E9E1fVXUoLhkNJahEJxSXDQV
mSWaBtIs+cgiGlt6lQWdO73no41Zn615MSiFXy1OxbUYe2KRqfYoce9FOBibqEu0QwQUi28T80AH
y2QJwOsm6+qQKt27qERap9AEnCoiBq6BaRV0AcYw29mqxBZOwNQONx23g0bTbz8XbYfCODav21Sx
ziqFgZAuNluV5EnT5sPYTd6RbKIYYKPfbnQ/FB8xt89HrQvoRRmCTf5+3hycWNjHnhPUmmwddUkn
F9RarG/Ym4dLFmplGSgdAWen2WipNMKr4De1J9sQp2tP6FVgZUJkXQ8MHjOtTE9UdkUUCNarY+x6
Dt0uaccRchuLxJ+Ugyca6dmi/zarpTnGOTheN3cCf2idO0qD3CJVLQtPRppg+xlcuVVW7CxS0oeX
phQi8MKJ5zIPfWIdcQuuFfkVJZte1R6sll7iwuoMOBRRb6wJr5Wv6WSKY1p1mUSbj+hEWr19ZyZd
c4RSkS8qzITnmMyKo6jJ0AlCv3IPne+7Wxz36d5IJnmolagJr0u8C8ggQp8ZfUZLo+Q5nWSvTjTX
iOljPkZJ47lFtmp6bRqC2arTVWRNP/wZH5FCXbCYI0N8anOU7fpwDu8dVqbAcTvDYjsC/4h+N1tH
aRetW1vMp6uiYxMbbtUEelp4xzFT9d2sQQRmtMpYJNbQtDiY0d7HPnf3tV2nj0h7WQVHMFz0Gx10
dzSvEC1A7D1xJjCenHiCKCVET83lWltTspmpCpcm3k+Oe8BGWkN79BT8vXQarvD8IuLbRPO1Ssd8
vHNDI1+QiqLtVO7Ue60SBB1oZfMmmGktNfSYS1kwfp59ueW4vsn0ojn1olLrNoPFps8jGym/tVE7
e8VNPrrDGoFe7S5LYNgToQnMFi0z5hlH6hUvHG8KN13WtFfcD8YyQoblk+PM+hPj+2iZd1MaB3Su
5mjROymKl7zMOCczGXrISK0Va2az47Sc3T4t1xp+jerQo9SnJVtXBvctzY+OiNdIe0YYI/eeiGH4
9RTR2SImT/kyT3GbHCrXSe5J0sSDnfsazd4Z5/1AjlTSfaVuMW/mbnDeMmN2LqDKKn3tlrkGVyqF
67W2sU/RCWliH99C7hg4EhmAXSRy2mwx+AmGt8zz6+eO6OKPXhPTDKJ7ENaOvJnQ2ZMXZz3AZSxf
GjMcNhpphqcRpBpue7uRd/0UzbTbsMmfa1LULmZvFSe2m1dbhwMVerBksHX7bxpw9nU9IXJNTNfc
S88onogIU3VQemMDmDNGWFnqOY0UteNTmFdS1EQQJ1dlpo0A516pflxiUJwfaF/ae68x3LM5ObQY
0gErXtTN4JVVY3qfdA1Q70Wl4WeBaBkdgG7XrKXmDu2WHnIzL9Axji+J57BB0EKdjiRouKsuvktq
twNcDYrsIYOgfxO1IVHMTkvYWu6Ox9BgJ9hiYK+LIJlj9eHFOLIW8TR2Mhirou8JaNAQddWmOQb1
MOU+gXCT1pAzRacWPrQHa9c0K5wd02Scc8tXdybRXs80zoc7zelgpvt6vklKS24UaQuPZpaNJxMO
L252bRDrCoMfjk07PUnwi5zLB895U3UWvyajkx8UM8xzqxlZQwuSUMhD441MXXQdOUIQAzPC+UqV
tVCu1r9Ms4Jk71Bcr2N7TDciTsbT6LcYXFzCC8pFxgdxV6XtrEEDM6LPUI/dDk66rt9HIY1eZpei
uE8TF7qJFnKA9qGZs51Ke+H4MQepsTDt25Y8t0sTVeJiDGZ5gqlZkmIGfOR1Hr2ElOmUwJW+8Zyj
IH+LNg6p9uU2UY3+SLyucSC8G1pO0SSCQWpH/zPAFeLu00kLfyRZMb/XPg/Paogp2IJeNAOhlDO+
F2cyOcbNbZ8/c7ch3CyJ1qKmL+V4ksIMfwwa4szY4CGydf4nF4ztztSJyMMr6e7jOMRd1RTywNrO
BiR98Smtro2XfsXOh9pTe3S0pL4bndbdgyprbqxB9UhD4+5LdhYBcdy2DTP+q3y5UeP400nDYtnm
3ZIzBEQ05SCCwqHl7hEmFMverfJ7a+ztvWYQezBnU/dZpo1J6gTw+U2di3KbWu5IjRYVzbteCxmv
4ENVF45IdL/rUj5mvendEaeZ/5jhrd3PRssvLeuQjPrmJVKMoVtY5ow7Eldqe4WzY9XxGd6Xg1Q/
2IEKL7gSEx60WQeuCKbPSFaAHM9d4cpLhWKK6QFrSxlYnWVhlVfqDMcyP9Q6f0kPKxQFBEueHWCz
diCmontDsCivG3JvHL0OU3rociohGH7IL1ncAJqL/dSo78Owmu/GjBFbTHFzI0Ti3DHcKski0uOL
NOya2NrRXuB956hhVe2qbfU4mOMhPBX95Oz5axGGkkb7GHWEMfz2JQ77bKUn1fjOkdm77dx5Pk9j
8dno9rLIiABs4spbGKk/HR01FffJYA6btnKrRRr791NCOnDm5OC0HVqXOyWFnWL5RyWeGsJ5MAeu
y3dcHp6J7A0r57kOWnzR657jKxOajg6HlhThTlG2v7lx5ZxDIZDhW+bYXiwKek4Cua31gdexyyG5
rvdJb5sYYfxIvkbZ2JJc5/2o0L1mQa2kfYojwz0OTmXdjbQz3kqQYrCd9DBSHHcZ38Qdd9Mgoi2r
aniuktJbRMDaV1nbAc/Fl451FJ0pMspKggWg7d5ePZHDBJqSEuHQaW75bAJuouj0KVliOpyZfo2z
tJi2IG/W6yfmqWoHFLFaxQ0ErDEm+Q/pGwS8SXgEL5i2xW4ajQytlCreHDOUR2aHHfTdyfvqZQn4
RctyesG69yrcWLTB1OWetgDI4V+lZhSybsrcypw7TjCGHg8HnK60cooGWTvTHNq9tf1e21ZpLeJc
aTsUV9yR9EgIVKCPcVSjzSLnu009BkrG93bJzAeA2/CQkFz+WQ3T+AFKRT2QwUO0L0H21/U/LLsb
x0+9KpjNcXxrMuaXAatC9ESLlNJkhvrJSpWyGPed5zKHyZTJRpOp+DhoQnzkYGwLzB+IGxm+sHFN
pe/swsoVeL5NhIXswdA3aggvk60idi5iDHattGsLubwBFCMN8+kZj7zB3IagS8Oo2fPLhqjh0BFV
uKjCKzlSuQRxdQnKZUpURG/gLuU+GmVBgnsGntAXaUIvTzDxC7KxYrcyQMFrge5PuJ8LokYCGm2o
0dOYXQw7mZP2geN0ZnPjjyMvgzMq2oYSv9iiICTwMe9b5ihGmR3G3h3Jcgw1bUeTvXCXdiuvfzDw
0AVhlxiPzGzNPBgYiLqLorTtzwbGwm3NBBUNLWrkOWe7DEKbrX2nRHHNjjbm8YV+M54xUAcP+AoE
OkwF3oLII7WwmA+ufkt3HpNcoHTrjc/MIhQDLaW/1sKsjRcWwcHh2kZFsPBpDh9mAkP3qN/HW6h6
14j5a5P8GtTDmMZYgU26ZkL2mAzT4c7S6IzGcuB0LV86ivD9FJb5ztNKkj8zXS6HqQElC3r62FFO
3GKiZP2acdy6rihvYPoYi7Dn3/DtovXROylehNYkECri7Ji1g7GqlIi9BYmGMlmYhFXE5CHftSRe
31TYYhijo/+yjJDgNd0VP/K6d1dR7bU3RYc6C8dlCjA9GZJllw/zDxmRcxPpvrtr52rYUq/TJibQ
1P5d6Pd/2qC/0Qa5QJMFkxQDJRr8KvTQaGz/s1Jo+f7Zvv/Xe/n5X7fvEZqh7Xv/M0/+6//xB8v3
4r387T8tk+6PIqI/fYl/Qr3Mf0CTNCyfvAtbXPUz/5IUwZskEQvDNBWywB2HgOmfkiJDQKnkJvb5
D7xtvMD/lhSJf1z5cPw8Luf6I/93JrjvIF0Ler1pGZyfad8TVPldfgofYEgjZ7ZW4fAIIvXIrr+G
p0wQDMzFcAE5JbGZ7l3MR1pKfody41E2yTopnkPsOgmYEI8sBZEVb37YoxDH6iMD2K+u1276GquU
LHax9zGN1jKumbp2yXM3vME3WGlTixqCdHVkEoMxnQi2hfm9r72vq/J4GzoPvXEbfcZlHpT2zaSy
oByAfyAocr5Y4mChGwFsC3gCOztVBRHD+i0JH8tp0DBpTJvCyRjyQt4cgTnb2kY4Kc0tHQtH1eW3
Y4xXF8drOXwIv3yUStwVzRyDoL8eUMypXkkXRHD5Q+UnGvwKp06GGCkFdxFxbKOD1+LTcI2znqaA
T+YdwzfaRIwuLdBjAjEOQXjmqDNKr2uKe1LuG3YIUlxWTirOOcvrWKdpoJnVT7uzSsQN1qtI6QmR
u0xi/KryI7YPMIUSiiY2lFYRAu+0SwA4RzNRZ0Uwoh6aPzLXOY8V7xWogh0gsnoak+mRltPaKGjq
WwzW8GvpBPO5RUC3mYNenJyjou6ChpYAJqzktgH+ko5/pxb9Def+R9nY9bmjUhCEvZD44nxPE856
IWkDazQQ5uKxxVi1sCx5piLexoOzoufT4PJxqFrLTV6f7GLcoH+DMuZ1ywkFb1BIQKkhxF6H5mCm
cfruhnWbZtimQvNs9tV6HO1707IJhUcx0JjJoSkPApJRW5cHfVoTFbYqpzqok/nOzuOtR8B8q/u3
iq8QotCXhcfEzl41PuaQGOmkLeiX0DPR4wWKl2UzmEsiYcgzdJfMQa8IpS1BF+fWbtcoIs4TqU/A
4I7wstBFFJsiVg9pTcdbdzYzuEv9zbEhB83dvnFmWCFgnbQKgpx7NYf63JXZVK7rPrnxyiMq2Q3Z
xJitvI8Cx1yei210rUg7PEskA8832C7Z6cJ3EDHriuZswQ8MOpFcI+GnPcsF5vfoNi0fjBZrFfwG
SX1Ujm9sY+OhRtlPZoDuvjYhLQotzl80OMxxjc075RYZHGutO/62MdtPQUpq0BfTiSEQqp8Q4Md1
1HFokN/Vzvz2h9X1/Pvt8Ed3qfGrSvf3pdMEVo5GF+Ul3PJfpf/zdUzbDshrIaf9jLTumZz4Tdjq
bw2FwNy3e929WqCy27nrT5Fs8T6Mt0liBXomYRc07k1mk4OTypoN1D/FiD9oEtAQ8UtMDRDj4v6r
tsu/ubsRd/4iZb9iGNGd8IsAGuKDWfxmJ5JANOpeJ7y4cVsG+oYJRJQ3bFeLEY5X0IKwDfPY2yjW
RRz9Ww1yQNDoTLrc9Ug6URMzA3E1TthtM8DjcV3u2Yjiwki2bpcageHkHO/7exbWjZmP5yTt7mtN
f5zNaMlB7hN42n1BZlNoeqhEYhQ3YYI+qnVUtRqZZSPONL5EFwNvU0q7AWWCIA67D5aC4RL3/Xnw
ukPthBF5E+UxBg6zRhX71rgwRsysf6A7eepzxkidXRMjD4XMNuuHQWlffmzmCy9xvhwtv5dwtkj7
3rS9pDulfwF22MTwDnzG5UnUUA9bjM3J5o7tpwE9G04ZH/vvxxBru4lBS1UMK6mDIhrgLKAizf4/
e2eyHDmSZdlfaal1IwWAYlzUos0MNnA00ugcfAPh4IRiUACKGfj6OojoyojIGlpKpBbdIr1JyQxP
BulGM6i+++49130pa3szphKv+xQBdL81jfTcdpwetWlTzRQeMU0CNe77l6zpfmhcY17pvC65/pEg
efR2SS6WTONq2hIZGZmEvIEuL64cj2aC77LLPmOzvhSAF3tb7DybzzvpFy8Lzklpnqp6PIPZQyTC
cmchqPUKJ4QZRqFFqwsXM6Kge371N6ZVRCOdS+j4L3T8Hge/B8oDGmO+NaubLkb1mt19FxZbYn0b
q33NlkvsCfwAwU721yFLyKyMXxpewgM9gOk2i6lNLLE55EskR0g8jei+cym3U+ede1iZeLPetFrI
HK+iCuYYzA/C0fhJfJaEyn+okNOBgOhd2RBICOvhnLrZpy6cYWPY36zTGK7CFwckU2xULJyMfd2z
KK6q+IbuUr5iqM6dzo82BLmsqi9q9B7zJLt2gE4BPvTABLrzFhQbX98hnfRUJIy7OGlx0uSvmT0e
mbWOqpchW4FUUR8HwU2Wr0nr3kyNeC465jHXe3UX/TSpvgPG2Z907H8vmAbjXnrRCBsSt0FyzZbG
h2kzz7smCYrIdZabHKAQiPZ7pble+I357rRLQRa5eazE/J6DRyHb2r2aheDiXmLOTcP53Djdj2EJ
rgYQlKBA08jIT6TUnz0fD29H47stsyer9UCN9dfmNH2oaQk3RlnsrIJk0DjtJtM8KzazuB+eFcix
AD23ccJHrzduk/wNQX5TkaMMY/apQ/oggM7NvNudrP5eUlK2vGLTFF6mWbzgtjpU3XJqLP0YGx9D
HnxTmPNzIogKhWVv9eFn5pABUv6wTVz3kewghYsborOOgZXjrrbuXHFf9o/ZkKIMqh2xUJg/j8MM
9CYLfqipZcLPttXS4fajtK6ednb2i73igYhmlLevfviEI2mTTg5Wyu8wBWVgv/XJxU/UwQuaTeA8
GCtaroWD1Nu8XQyyrI8TI+dGLjdmXGz8mYJizqjUc060QLmOinLskmFG25p3b42fIeqO8sVr1+OO
mPlc5/ZrEJ7x62HpALtEhphn5Qtw73zbp+4uST9GpCTVf08ZMcE6/JgId+/Dof0wau9I+vuYp9bX
MEJa7EPIInkVEvzPE7bvI6E1venCKjhlkkIBYwjxeSTqmd7DJJrs2fkyGjyGgUF/pACIOVbLtduU
TzIBarNk1grHfKtYA1Y5WvSUwY/sfEosGma7UjinpMtp5CyCMmLx3LOdLz+rfjkEi0/aji2QSput
GXCdSuR0gb6VbBoTehZFICob3zvImuR/TxhdQeAiJCye/4F6eRWO8lcw909hWddbTcAvA9uzq1qu
JmHM1if2TRgpqAPZ0D0VmHNqS0Vc1G+qWnxDc95m1oHIz5XDAsaqmtt8rHn6OrdSIwrP3SEQ2t45
8B/3jTNLdhiusRvx8+D0bGirQ6oGKmnMm/8pF5Ywfs81rXbDc25nJpC4/ik11St7kHKjKpmv7rdH
4DhXvDYp5CRAnHYd4+bw/W7rl32Pgy7gmyjv8tvt4L9haP2/EJfCSl+ANPnT/eff9BocKoKtv0pS
z/Pp65//6e9f8b+HRYdKA88lWEUe0EPm+SN/Iv7muQxqPvc483f2yb8Oi5b7t4CaLij2FO35grau
vw+LFnmWYL2cmLRN8a9jxPwHQsp/Rkz5a1KQCw8/GBEWMoouj0ZhrlHVP6W/bJ/eArcYxyhL6MHG
e7vsEULtrWUhxBgqm67+9Mr8OzfDv2br/vX78Q1d1zF5Pf4hvlUkAudKgaK90J7K/jP5HpaaVcMI
2/4//05kI/7xMsc1LljpMiGJaX+dqv/yd8MfbAsh5RgB1IYDo1yeYKTXrFOGZnebx1Qs9YvIcNd2
eCB1E355RTWcWyhNJ2CWCIvayK0rc2aPwBHUOkCPwqR5cQrk9w2rKffO8xLrqjft9oPECaUxreVz
nGZTwBKD9fzkY6CofhkxtAH6kq0nRfvhsBc+Me3rzmnMc1rYbbJt0wXFMPOdX50nq6gNxmzYBm3R
f/eTIX8lXhrjvwAYUsXFcg61zSHQ6RlHGMYlBokOFJi3GNfaDM3hiOuddXcuQ36U3o/jF4J0xEJs
2DdkUJLCZ1wMZh8GXoIViqwEVGJVZKzA+nDkzGqdxq42wh+abwUo4MqHQ+snvB+soUeOo9q8nL2n
0k1J1OWZiPEgYSdIbbc8T1NBpNhmPxvjw1y9HoaS2eoEfsjYTx5K179BWsSBFmKE1zVhZxEa2DAI
O2/NHhkwNnm4wpIqJPaHgK197rIfMABnQdB8TSlrwCJOp/QMIXRDCp3M/eATb82yfdHiApU52SmL
scrl4Qcvn3LexH6gtBNPivGISrhzLZ8nvDXJA8giB/g/7TEaLkWO5ruNKVdiEULCPUtDvDIZ/wWy
tG+O1bEtunDLGp2blaQl3nP45rancAsHECJ7i0Ohovic4O17Yue3kNLZSXrJxxjzVrdasJ5OaRwA
VTxUecNxxitKbIIOU0deOitLtuZkf7l9fGPlPna6jBumpQ6sWAPSA5Rn263AtI21HVjhF57UvchN
veW+dRBm9m3iloryuHl1+R9DHNzRevGdh+mN6oiM1NTL5UPMDCj1JYHBbMDSC+bhWsb5Ad37RhZN
GkFE533H8nEhSQRz9SYTDjHyzInbe925d6lRvZZDVm9RivECjAUmY1ZmNJbtWIR4+1zxy2umAFUp
oUMXv14YsYcmdRGgx6YhS0TiOHf2DGtPxNOHjNsXHNqrbjC2vBh5SpOf8cQBd0NM57drMBg8Az86
Fofdb0X2k5dcJ3FeHfCyv8Jb5S8QB+Rt+HbFmH7EAEQzKm43hQebBZgmhvgKx7jJt/ZG28BC2w07
5PwRjpvE6zbjAWXXsDEwrG5gckDRxGP6xC0AhnHrP3Hm02xOg+5Q8ntwzPoDf071exL4v+FE/Etv
wm362UBn+O7+yhX77fH/B3Ts/yEWmeVZ8IBIjP3p0f5vjlc+s+8d7iaE27+kPP/0xX9PepLLdHjo
AwIJ0Kn+LssG5t9s1w1Z9K3QhTXY+Ycs6/zNwi5uEn0OGf49i5+lBY4j//mfLB/FNghXlpjFl7JF
+q+ctD5dQ3/OyXP2kbWkvAF6mr2GR//xPKJcj+xyNkxQ8ypp7yeLhoOxzcgczOG6BhL1Ah8XZCAg
kSFZN8C+zyC3cyZ7MjZsoum3DcE1lKOFDbuvYCr2sYKc6vvFJU9H48m1YnlKcPefPVXK60b5oHEa
11eHls71yBd1Tmi+lV+soBe5DeciIMgs2VVgQy2euRkWZJ9oMr7G7eUMNBl7wZbc2PzgYZ2wN81y
SfDzMYQfaYVjELAH5UZESJpriTSznQIMRPu56vt8C0+r4x5ZwKQ9lPao79JqXitgisW8xG5avDJT
JpfKrnABmHb2oYM5ucW+pvBQ4/z6SKrQ/TlJx2cs6Zv3kYFwG1q43XCrpczQhQfRysopcSdsc56w
Q97XS55FMAtRle2JBF9XR5YimZiKxgY5DDfS6XG8LPidPoI0mNSmrOBnbbogzW+09PKP0QsX2hmS
IvzChZf8sAlsyG3mhzEJLh/H+i7BHs91mxtMKHJnYwroQlmW2FcZv4AtPl4Hz0A2XE9VA5O5pB7W
tyfQRwvXim0BHrci2aDLSDqUD+2E6fm3vTdm79hJ1C8TD2aI6DJz4dDl0NJ4E87tzRJyttRuCzwU
MCTNnuHQJWtVRNJtEsTmgmNoTG47RJiridnjTbYxeRKqK3CUoGPgcBA+iNjGqOSrKpSTMDLTgiFa
vo81ixKRv8EDQbqjwzYwM0mBzI4bAKZcItJjIc3+q27KUe6FXU1HrIrhwcfbiDUn8ebIrnsaGghK
5XUEXqT90ZH+O+cp5NzY69snWcrqPaFpm2dwV2oIaQlvxa0fTPWnVu78RoqSGL5Lhf06cTb1T4up
qiar55G2zbKyuVi+CM+OYzE7LfUY3mR51Z6V1BrCRylJIYdT0DwEXjk9t8466sbKNH5xMLnuLrCs
5tXxc/XhoTMccNvw50SMx6e2LNnkJ6jTE9tWDnpSyj77hwGz7XWXMYSPhY2hqps0k+A4PofeWD+6
XcVqwCrXz20OZj6QxrB1AJwpbg5wPDUiHlR106Yvig/X+qUx2orTFIU+ou1iyXcGLzgNburBdnYN
dr9OMZkviZ7NV4+33ByZuloOzIz8AoO+4qeGHgb/RWh4qa3ZjBYZApKcSwvsHjzWr7iwlzcubxH+
ji2qoPisMMqnTOlZ8+H6kyrYvzrT24TJbad7OVEdzjp1Gvv6RlL2cszpnbkqVYGe7SYdf+yTxAAK
1r4sWK4lCVxW6naA3y+b8K365gK7Fm9XvUWML1G9BUf/FMRHGhTpSpmXqEJL3Q4jRLKaNdCh13TP
LrYfP4d2prZlh368wxTukZbucc3PXVNrsn5K7+RSIl9TUYEJX42TqiI7Jt+CpqPTX1lfyx8LOYRr
M7dI+OlOELswHHt8NfigoLXZouk5xXX/pkTGHj0xsFzR3LLw0V6Uq8+sCdS8L/sMM4iik2EHOLDb
dL7Lg6Xvvf5O6xy38YwV+dSptn1tTVolU1V+5WrIemQ4ntMDRr1rGebSigKcr4RcQ/3D7OyMLlIb
9S2U0/DixElzI2Ip36zBz9alFzJSb3P54g0b46dQvjLTreZm/tlisD4mqvs0derUBD2H6oqjxGV0
yQr9RU8NU4fR9HjjQOSPt2nfk7MPiXW4u5aNVYttuQ/Ys4P8Jkfias8/YiOWAd0pyWq9NcP21+xw
AdqODCbVUnPKOIM6Yk3XVzE9QPeKV4oUEZVcGCfGIu8O3DlbeaxUZ5P+9jrzqIj0tNssEXi8LODP
mskIoB1/e9MhkW42+nsa5+DKJAS6o8Ki7TfBMvFwIlt0KQ0+bvAf02lHd4R+w+CEpFLTkfTQ1Y39
PFP/w4dO5/aNSXLgR9jgiKKLI7gKCEsIKlY70tZBnYj7mqLXe4/h+Qe9Low7CFW8ffx2KMR+Bl2w
ZuaG29nv1sqwiXaf0OpNutUq3/o2tWkF1/yEEp14cMlry2AO3jpSp9hnmMhu+dy66hizXeXBMLre
E8+m5mZQcG3HuLL3YI98etps6W4ng4wpNS6YzLcFzTB7Q1fpTTbH/suc4Qwpqknd5/B9gQQCrw3H
Kj0zj0MaWCzrnPFEwugj9XOfmPmPOhT1zpr7t9r0xVNXD845L2Z71zNnHbWrzCdtVsYvO6N4fGOT
MdjVohKnjKgynAMaMp+Umfhnv0qfqso0znEFioyNFGrjIGnaMTKbelOuxNgR5tKFPh3SyB0RXMDV
SLU9y47Zz6A/xEUwre+EQtTvZLTi/fSbe2EggEDYEUuDXM0N3WpzGFbDQyGtdGf85oIoV0NE5RXt
jVpNEvXopT/TrnlTNVUmUx9OhzjF3eQjsr3H/ezsqmDMH1njlQdDuwvkRFnutYFpcst2yYjKEfvF
3EvAcnbb2s2t7yr1s5ADCxlW81MQmUVuFfuywRBbJDUPlxYQ7amXZGD1wuBWGg351Nwk4bS6vxXR
kBS5MTcAVDji4PAA2hKGGJ5cjha8JoVgJB9HdpIStEBUmWP7vljZeBu0Is4ingjyNFQIw4k52BfT
6eszGi/+nC5hvjWTwbsI6nD0luA0BP5W2IeMqepuXsykuyZ0TMwsNGVBWQBlsTXVQW/9TLoQmHn4
3ehC+JzKXCXIwsIpiCy8uiP/pDHYQiR9WZzRedmV4Bo2Ob/VGB+btmN51jnV/ILIH5KOmOtzXq+D
kNOSNiOIb4l3NsWmh86QyGfPaVnNU7lVGfSpN/LaSbJlx1gUxwchfVWC1wRuegpjv62O3Zx5L4PB
J7JU6fDoJ1ofSDxb96SabJyzbgtKoIdUcaRuOTl4qujeEppmHhq6lcOdjTh81QMsIEqQ81ldiKXd
+LOYbxpPj8PWEEb/wAWWXaQOB/kqra5JGOeGDppILsWTmU36RdhZfWZFkke4OZe7oPdgnnNswTF1
WaFwJwRnjS9P+V8E3TFUddKe7ww0gKuwLk0w5+E0kFfqjIg4tPe5gMK2dgFK6nsnO4zlLQTEyJnr
4SOzi4xgiQCQMaKj4N9Zxge8Alb/+99Sgwrd1o4e3sLBfxIIZpuR7t8XPpzke3Va1udgVCttWP1w
8+KxgJUKyzNpb0Il8ZGJ2OEN6BAxLJULTNdYzYkl6WNAkLEXvtRWwwkSAyLKt3gHwMWCWBPPmRfj
/qIw+zGsKu9xUF59u3IpbtpkZvcbEPvCodAGn9SeAf3PCWhv2be4dxMhC4q0im76GaSzOV9Vkxjm
Yx5CU7qSpY1xwUuS+YhVzv2Mi6Q5xCV2h01pjFwuk5qsFRjJILwrdbIcLU6uXwbLlV9khJo+oiOU
oFFPN0qz89S6CHAHkdoHuwrTHyj39h68Rva6GMbyaIYqFvthrkLONjk8W3koH/3ZLu5gFyznJRXd
L/Hb4dvE+DJ44SvuEAlMCzm3HxOZnFu/LOunZiRppJPEo41z8N5lleopYr8nRYQW4FMH6bHAH1hA
3Qe5P+7MMcFhLym84vdcuITbzNIBXtn32XKaBt3y0NCVyjZFb7uvZmLpadPrrm02JggcYBtm/ekY
uqP6p0lvq76pHlI16pcmXORXq93wSKrAeh6s1Zs/zVNyCknYdXsLNkSKx65LTgRjFuOUA7w42n46
XeeNmK2NS1PcT8mQjHek6cBVSKHqQ+4FJIEwtmU3jARQ0nGoHSme0Tm+PtIbliu5h87EH9iYsmwg
yQfxmFWju9Dl7hv86qgkv1IqQwMcJu5yxLus6twWBqHIQqy3G9FnB9dss2PgsgjejETjHxPemcfR
8sqPoFrUz3XK7vgOAsI/2QPjYvZND+LEal7ySVNUZQnFVZUDH1xEzL7bal3+ZKALZTTs6ro15/oG
0wuQ+FTI1RtZVNm7qopGHu0uTe7tSvFXyHOCJnwesuyhD9U3vkdP8HFRh7EpsrPRpCQZ5oL+smZx
3WtWMhbcTapjnmhBD9likURwgoWITDH3Xg6bYOBCUg2ivWpTTKY7NizOzLrDq49tp83t4JapwWhK
EotDOVXuselafjVc400VztdEHpurjhPpPQV84m3LdK0igFOBcIjdAh6N7HAAQDCh4XsZuwy1tQVB
Q5LSH5jZcg+vvSNxxJLIbPJh+VJgEvfLNKluvUaqOvJ7LLkE1fP0FObcy6Ykr26TJudJYgAbedCY
DH8od50pusAtWJBzirOSspp7p6fyQnldfLTNoTwOud+eyp7uE/rZ1fRM3NQ2DyrzqpOhh/hn1wSp
xp6+FLdl6Gjs8w0roBe/nwh2DP7Yzr8L7/9fzPo/eBIRlkzrN0PUf2xE/F9NX75/yvfif/w72LI/
/gW/61mhv0LIbIQiASQsdFeO6O/doaFFDSi1xqGLC8tCpv5Dzgr/hnPF4/9t26vvxv5DzrI91k3A
/0kOATwQ1ND+V+QsnIt/lbMCEw3Ldz2HWZ51Dn6wv65XAAsxR9lyOK2fz4woV5vf+63bk9mL2fBv
pqkvsiPdKqxR/brBxMxFste7ypf2yQicLPIsuzkRA3G9WzY0OI6HKeU/GTnStyWtoYknDOtNxDyf
XKHahPvSbajZa0aTRszKdVWKNW+u39goESaprJR03lJanApwCCFiADz0n9sxwQfV+QCig3qIWOfY
7B8C56NeuHRFsXaYXA1qx4odbv9g2S5jOD4wLmTpERWHwhd7Wk2AesqaQ0N/m2AfTRnqWdh8vtCX
a6W2M7yn25KV3QM2axKbuSYpi7VwrN2tNjT8ChEo81umZgWyIQlounfImz+WlPIU66CfvGoHBNAB
N9j8KTyjO9cIW5B+VNnj2KzhgAsqSt5JM00nNwALQ6LSS98cw6O4NSYph8HYNB9ADTS7UdkefVZs
pkWJ8ZQwTmlThIKS90TefX61xiToNmiOcbexzSo90t7AIkksTe5tiP4j6tWtL25tZY2348RmiROA
fqTFSZc7AWjGuthNJYBOO7NO9qBjRfgyIO2cZi1bKypCAgwQjhJbH+bJ4vjfFEnXpCfdtq55H6yv
CxnIhWzhPit8MOutpFds063bl9ir61fmzhyjzbC+WPKEXIurA0xaxL+GglCeY8cgD7CzWdNUEjzy
5WDd4/LkRkgVHcbHMdM7K15ryImtk501vzOO/qjMEQzH1o5pdGDZZNSof422bKyCLewemnPuQDDJ
jRKY8+fFoW8zt2aIa+4EByXxRmcnwt6/DOF0YitoIWKtJdhG0avIyeJLmwVsNorhxa5hlFHtetPw
/qA40f2iSPRUkqkcp4RBpzDJwLch8SsWTZFYuvI2sUV55a0Ba7BjxsmbhnzL/oWXDhb9QTmKkGZV
gz3SNxIS19YLWEgucXCL5N3e0utmbcoBOZiqN5/fqiO/HNxbB0ZN9ZJ2bnk3CApz6JvJtklYsfEI
cZG5Q5vc54QryaL31aNPaueOmpp26+QuYXxoMtScSzP+kRTThXAp/NguT05zP7Ii8v3mqvbkutmp
0DknYWycKvsAGCEuurIwXZbJsPVB++y9uHAipxyJGmKD3gwUzaRW19/qAswFvTwmUcjZ7Z8KWZ+x
aRyGyST13bvkH5tMdvexLFpKLhGJtm4qyAlkVA3ah0FTwjoPjzBD6fXxjQt3w199T5vUaHUbN7YA
OHXI0GXW+vckXZLXJDD6neRPNtA0yleU/5qHkXhyBt7/8Lswa8ZfhQWYvi/DswFM5RezBe/0qsZX
5/cba0T4MkN6BBrgXj7dmL0i261Hg998LdTWUPlC1RDpoqXoEWhjl+s0XcobHL7+HhZbe5NJAqJl
iyin0FO3o4+TrJjd5dXg595nGSYzWThwCcU6dMp87d40oLC51YVzP6OxluBGaBbDHlXcjwIEjign
SffQENGIuKEkmHbUcrdAFnDA8U+4c/EVg2OHW4Aljl06tl3CsejtBsVRsT0/Q0kgekF+9C4M0XG9
3M+jUDIPdLr5rjU0QLMP9NXkcX+XJMmiznJY1+WDOrtAUVBRW/tqKkT+wWKi3JPDYvhMaLI4Ox1Z
6GIAHc47gSchGlMbubMOXsaQxGKdU7P4+x3kP6S146P4x9PJNU2AKtjzTdvBibo6VP9kbKiqRstM
mvIU2ASwd7E14vfr2EHct9SY/Rgr5MwaQkG+G4VmbCwhwj6RTJujRhbWV58A3L2Zq9GyorxDlTCA
85ibZv3tb6sAzMVmNEdsgfSgEloGcAR+pwwseXJ7FYz3k1M0iMz5Mj63nsgfZ2IoRG6QOwf3Guty
cLssfX6WAaZzhxpICo0zIahssDv8UcJG5nKl95K3WHyHEnWVXRCVdRu4tMG4iX1vvKWeuj2Noz8f
ep7v1yzhpz15fYRIMUxHd/LDK9a5GNvsnrbsAjROEsbdMxzheufB5N80tKfwMwLExDGHgGlR2LX3
J84t/Hx4OJ2lpiUOmv0x8FgdqM1gjUNxwM4ClBitbDhCXnDVjU/sPQrhG23MnkrAwPfnK4SaVYyp
1iAvaMfHPPdqMuede6/mVpxbClcvepwjzAc5ncawza1yYbc/ZBZOwFC5W0TV4N7tPJyjRi12bKwQ
Ggpd72VHX2ZiznB4TdntRRJcpBuU29b9WWZc3sPuveqgE0h8JTb64l1NZnpowFZYwU1lSWvrkqnb
BSimjxLSE1XLvHDcN7Zlv66Jq9ExjqXZp++Wdm2aZlkA9/5w1Rkl6Vh4c5IeTPQb4Z1pXTz6Tuye
OFZyilrZoTXMyvGmdYU+LX7PDD3X7RDVQCLWWsTylXRyuzPt+gOvDW3jOA437hKWR4v35r32tXXB
jPrpV870iCrYfIuxB7OHwpLscWO1RDPwmSynoLccmosG1uxfxezUrwXYUqTW3A8BSMMvuKuXerB5
KLvuBOR0slb2j1m/z9gE3rpYOcvFjQmx8vP5zMQesMc3SyTyLqg7cZfK0vsYs9jf5PXQiyhxBb5G
mZONUt7A7tzqXMqw4cz7ElOjzbhxEcLoPkVhYxK1Q3WxqQGWkZ9QqezS7LMtdO/eYpJvbvuqD3Fa
pHQf4oxPHk2nc27x1HAj0CPnPJQPzBVEOD3PCJ50TtAB8qiHx5qHEsfJlFjH0dTFVTpqw+a3CQEa
ccPIH8dSjyOqYS3SyGzydEXRqI7IBxeONuJhV+t9ToRzl/DEqhm4l15vydomd5gkQl5OO+PYJ4Ia
0RiuQYBk6oWjxfnFCqY/cvViPJsFKz5RayiC9NQpPgh9eUTDW3j6rUvFCCdI+ey5GbmyORd3laOG
xyQLoUK1wnpKlWPsdRMnj+CkuPIIsykv/Bj5k7WQ4Q50ytG0OAWUtQCNQ2oH87kbtP6NzIuBIuRQ
u5EXV21kN/YbqxcK3HxrxLQy59lbQf/qK+TJ76HuDRMX1zAcLbPc29TD8sRyM3AL+Tz9RHpoQANO
vSavDYPtvTXlcAFK6rzGk89SBzUUJT6B40JkiKH2OARK/MSNbe44lIw3aquyx9SKw/e61dMTq6Xy
JsPGlm+m0gYowC2ckozMHIrIMVeQF4Hhfp+KxfvsPSc71kbf6UhMiz1Fbp9jNrQqyEZI9d38EyHJ
uBvNmqxkGWci3NhlnF8bTqZvnX4Vc2gs+jJVs7Df6trgxSpNjPJZaBviuspttqKpbSavdj/OFLfU
9H5va6MhmdRxWLwFTaMu7kjJMWKn2DqJTvBa9Y6xa524DLcIcpBER4Qr2BWq7XeAYqYC65WGS+ES
YP2JHXzOj5Mzyg9gkrA8FazA2zrDwq1JCMJwYCZfrgPu2KZV56vrmcfLXoyd/5XIzrqJU6+/kpnd
5Adf2MtzR/0xu+rOao9uMtG02rqSMFAZfFST1V0GixFqWt+SDE/5VPAmSPgQKuiHfOQpO3WgJZTe
zTLUcNsFZoZNPimgc12XsE4PHCc5d26Iq8VMjfs5m3jY+6ZEg5wIin93RJUgRykbWkDbmu7dEqYe
40Ihhlu9lP3bIoX4YF84t3ve8voXlTn5ydJenG/R3ZLXckqTcJ9LPzn1zBvfdjrgHVBw/CLVpXQa
ayK9UUxbzCqR5PrZoqRlrQScFCQsAskbDlEW6nmAqRXnzZQTOlu665ZaxPssQOPh9Snvxs7i1um1
rBKo842CWJTUc3B5qelw0vUb1KJOb0il9s0WdpEbWck4nRoHAwKIWhztLINxUWd+xfsxq6fqHpk4
vScQmxy1IVqqn51EHJsyZT0HcWbA4pShyKyLFexHZdOFz0WZEg53K/+HRULngzmGxHU2pQ6yL644
2qnjtLlr5mm2iFaH03luxlciMpfB6PQTJC8axPqprOjWBDRyHvKJBcpiu+/Y93z+aC66uxTT+EmD
3YrqySbuqkX7PSVmoHbIscGlMid1WZwseZ7HgpMoH3x5Uo2Sw3ZhF01NK0GKPRdhfOwV+PF9DzPg
JJPM2FqocD+awbOv5lJ0zVWeFmZG3wAtHZukCcY72tGae/by6Gu4BR+9VE0bTC3tyfeG4M23zOnS
cN1iYwpM4sSo5CV7axKQnLlvNgR3ZrVbet6dW5twkn+vgVrwAUI52VKOPh9M4lfvw1w2J9YB1Z1p
5dNmDCHrsh13iJAwLXEDk22zxva1MSH+US6XFu74Sca7+0rqAntznwWqIc45rDdWnhPvjLMEOhjh
/a3tenpHhTxYuskdfa5F2fycjBkLeF5iFrxhWGfM0rUcQQAPaH4bzQd73iYUL8EfCfQpW/ruyXGL
zMJrDSdnQ/SA+rjEwCZmWY6+DQz4l4XGhNkH/fRaV4DE2J0qj/dwsz4369ScxY7nubjW3dSpM80r
3AIGJuH0MGln5n7h080J+a6O5lraVSRSIOCNWZBfrHWXfC7NIq7bgF7PKNATm2uQSfmaEQqa65Z9
MPQyfDnz1QhCLDkFftjIKGb/87MOubaZ8Jx/TDrUv9x8DE6mEZYvrpvL5xCZnfJQ2xwPo2lYp8py
uoNHovI0l8SfqTjuvyFFw3SLBXrsqlYW01a3wbCbrbjdk9o3DhxJwKRy1GuAiWKnbJ8xn31PvoEu
6H46fsLW1wtr94mFPD57myEyCb0rPx2cPTBcEZX0w16GaTbvCtSZnW3kFQ55MDzblLTAY+uF8ScL
anuTuo2+FCakNRwIrGP6qjOYFzuRPtLSCvIYPNSLExrDXUGh3VNV++WJ0XE1XAIeAvE3BjscMfFt
W0AWHfjAP80dV//GKOYjVVjpFthK+V0FfgmwqnGfeNtzE86cKyttxWmy4g4kx+BcK89arklRTUcJ
oOoE/Q8XfSfA1ud60/ruhTt58zD6k77GSu3cIJpXR1Cu3hsrj+QjFvg7mYHc/ZBSox0vVn5T92V6
boEkI1NBhYVFRMm9jc7QxnbyHTjyRzwZxdFx60g1hThwtxu3FXNmNAu3uenqf2HvPJorR84u/V9m
jw64TCAXM4vrLS/Npd0gyCIL3nv8+nlAtUalGn39ScuJGEVHSOouNlm3gMzXnPOchvUTotoyrvut
glswg5jjlQvXZQFL41lxYJ2zoOj3og5/GA4aBqYV8dqqULaw6qEeMNuDGaDwIVcoOXpuRHBcFsDe
NIbkLbL67DwRugujnhaB26He5bHd7JooIm2qIeiM30+9cUIbYbLaQsNVy1+Efv9CLf5bQorj4sMj
6AMjNeIUwzDk3OX90sVpHL9Zz0GyJ+CcEFnWKOrgAkuCVZDZ/VLwCI1LB2X7osAzgwqldfZ9irT0
v/tBrN+E8vwkaAPxZjNb5b+s352BVeuVA/jjYT8ino26uvmAMt5Pd6zoVX1x4aPK21iPHWudTGl/
z4aL/k+6UWOsx473O7C7J7QwgjnZaFb+Jo0U8zMLmUH5LsXk2Cu71tggNhAflfL45KWVvLglRAoQ
fAzk0r6DFJ4NGWtwusZnxh+ErEGUezC7XvtRBR6Fd+v6j45utfPq0Q9fmpB1JEccXEs9ZCjgdvoz
tF0elDAY7khRJDqeSaxas5mOj3bQVCtrzC0KCcu/sOnKlw2C9XvHSccjgCbr3CY+1yGOgY01JC8m
C+g7kCQHpzdgtMxDS2ceXxbfk8wOfxujUqCpwZqRq7gvvsee/vcI1MEp/LP4Hoyadul8goFzbwcR
V/eTPxnP0tJRdpXomxl/zQX70IjWXPm+GxLRlQyPuBV5TpPv6t74rvTVd9UPT4IOIOzi8YdAELCm
S3Uv0XefAPPTQufIjdbUpTK31nc7wTRJvhODnIDlUO5e88xHX4ztvhgqn5BGPvgYev1Ci1SOD2nu
Wbrv9sWdO5l07mnk3N1AeZy2ZOk0wRq5C8ClfFSLyOjpiObeyJ27JKwI4aoqUrE1y4oZ5TwRJW+C
zgrTKU3WMPdb5HTJDzX3YObcjY2shl9LEqvHJbMc2rVCBeb0IEUdvwozKd4JbdNRJI0NqciEgfEh
iTwRN81Ef7ntyXvEv0V+yEvlFTL71ALZhutAtP5P3L95efvX76v5PfT/xR6O3QLDhSAGymQ/Ybjm
756LGVNiBVwnIbXWudAG/5T3YbmqKyveZ6nu7nH5pT2I6NxbD1V+gfzuAe3OUfND5x0O0I3Z0JWT
5q+YACACzNK4v6frQSdqMyd9qdKOoAs/tMoHuy9BSJvEFfpj2K+lA4Y68S59guRikfZGdzLctGlY
KAzeD7QQ1gZattxLkEZ3phIDI324vJY0HlCoXTLTu1XIF0++5+PEtjwko/4D77gFznM605ippdRs
vePE0wnxYl7XcmUDxdoFYSlQf0gKVO4OfdcVTnKLkE+/tXKjs9e5LfyrgdVs63dsb/2h1RBYWnnP
7G2M6xsOl/LWhdICA8plWiWYLeMwsS3VrcWQxIep1FPsGUYFg4Ctf/bptHU5F8wthaRobk1sdch3
wWrlFtYRew7+ULBMUjRajvcasFV4HcSIrKNP82rjNXEALx57C7eu7bCziBqyb8eZSTQHf9uyl7MM
VA7IKaLuM/UUKoWE7NktnXCGlqFWY4Q8uEqzhdN2aif1yrvzOhV8EAHhbRuMr2vPy0hXZzLCpABP
8BCK7oCuAri0Hho3jBYnnkqKziRSbMMJ0nhTWVKs+dc1S1z+2T0KUhdcuygQ1o0eb4APILkjgBbR
Z9EFG9m2XGmTIHjBKZvXzjTCqwbT7KmM0mzn6ZMeLPOu5GgaiHuZcBuvqtS2joJTamljc1vn7BrW
MEORTAVG9JjpdcwpCtEMgBmfzCEE8pHQxEjvNJLgsZWgkHivVWSdijR/UAqDHnZqasvvmwjOqX0n
tco/9xP7a8Y7Om77yMoa9zaLZxdQMS+RjO99ktHgKQdAPe+Z9HnlVDHVnaC4zZsor07YSqlwRO4i
M/PD+N5aKfZX5vcmq7aEtWnN3nlKvjddGRGMRDGHPd1nyOmdrTjdilef6V64s2xp+DdTURg6BKVy
+LTbfqjovk0Xl+W8bYvyrm8XRYUedEFnYMlz2LfVvoIgu+57YexLswQg2pU2zXWrJkZNjYriaBe5
kgXyyABDrKrQyI9Wa1FPlN8z3WEe78bCeCndQrioo674UV5CQoo73lo2Q054gDo1CzCUsymMvJ1/
6noj2JQeh4AVUa3lYoeYqX7/64PqNxsax5RBYcEhZetEI+DB++e6QmcyHzMSdfbKFze+upRxdSq6
u+9v8h8twv89y8Y1T/nrd1fH/I3+j60DU9+f33g2SPzT/yHmA+vhXftVjfdfIAXJnf/boHz+lf/u
P/zTwHgdi6//+T/eP1NSEsKaC+hH86u3cV5R40ikOPqvd9zncMqr938KkP/Hl/252bb+sFGcC/aU
ynL4w/lzrW3+AVbHtXj1yHI19Xnh/Xd6js1XSFfnP5aOQ2sOGfzTpmEafyhbSsAkJFvwteT1/f0D
+LPE/CtD5P91gyEYc3WF55OqEZLPd0n6S8mJfH1CyZN2u6yzcbXHWbHtRZluq8i4sapa7UOv430x
aIz99sv0JDhwwaTql4/sX1S+yp2dkL/epPPPwQ7fwb0B1/vbAfpr6Uv4hZYbudfteCOSHdLAjW3F
m3xayvaE+JkNaAmrLg1v2pDp38iAGEGod46oQRZlZV3b0rmpTRTiT1N4Y+nZ0YqGAt5+A8KicVe9
dAACFnQcHbwY0dyN7bilwysXopA6u55HrCmnUfTrwcvWUQrjBcolmsiDaTGN0uQGCtCznfoXLUJr
F4n42uKzWNeW/47WHoAs0++V4FwsiG6oGP7zjVatO+Ezz8OXui6u1jhsYm/cISa+JbHSWtiI/SCI
c19b8Lcky0I/n/QNC8RFPkgcWKmxARS8hO6ba/lGltayc5+1eGK+Gj2UANZqf9iZlnPI2BdHWMl1
p3yAJ/PqNomzGIf4Rtl2u7D9Dt2unbs7S4TPKk8x4U8HOYivPAh3rv4GnuWRyTU7LecMGOZeesaW
XNE1U49Vb5pkJDj8GJL1LTLNdTMmH3nSfYalJZFBWMYK/PZPU00ENgiT2cxkpZyISB8GZzpSI5w1
KIsrLJUw2LAuoKJ/SBN/X+n3deYsJZuF1WT3D+Xg3xrQz62eadXVgpSaZOM6ZI0l+0MZWY+py/mt
azYzsYcyG352qbsfav11gs4xFlxUQV+8EIG4GUV4NEtLbNKBEYKXA7RQjzxeyCc3HJD2Aqcx2uim
W496d+Nr3otXTMcOBEHlYKwbnPbRsLCkG595mt7Uendsu4Gxeou5fWBPyzbAWlcmNFKPumNo6B2J
M7EbtFC0CQ6PJu6aR1Zk+sLToXsz/16MAcFjdYT3QdfWaYTsvQHl4OmktDLWYPi5ZqxNhxeAwDCu
dvrsoFu6RHEfP3dTeqxj+84bum7rjvPciFz6PcqnldPFRyfDWFBmuyaIX2TrfcVafh6nSyEea5jZ
C6OcE6AK/Y6blKKzn/YwrJ5tI+tZjuerLgqgBTinbihXMGo3HWgGe7yr3OLs6GpZVwH3rD3mJ/o+
5IOGvwKMe9sMXrL2I9gkdLLMXQexCjMR79zgFnL2CZY2Q9t9nSFiFmweOA5uw5B9l+8Nz8XU7CYS
pMluW0c9aKxYM6pzqQzEh36cLEMJyB8wF7EaH6xSNmV8y8p/2RfGXZqmgALsTaJPTwwId+QFYGQB
cU5+6TM5w0vEzFseDWelw9DZW3lrs8XT4W118iZvjUNgOhS+02PYwb4tW+eVyS8pLwxP5SSW40iR
kQ4Xx6y35pyAN7nOscv6tV8GPyTidIOkN14n86L0FpUk671Q+fshVm8wlvdhKz7zGL91Od2NOq4j
G73fJk6yHbDH/sTuOdrkzuCujCq6ZzBOdomnX3zs0evMuK1Q7uu1zifPUs7XgRkW4Zl7q1+xgu6X
BXlb9sgCU5PiVlB9YmFGnYA2FJkR4S+evQxFQEhsXXzkQq3sUT6lzG4lfwN6RrxJaoGNeMgxOVWP
zlRdvKx5bQn5YlfeBrB73KepHx+cnnXUoM6D0xxz31t0aXVlnnYhYu61ScSbiTWCZuako9ovx/gZ
uGO6bQp+H5IeQcvXFbkokxMS/Wdr98rl40mNcs3A6cDgPcQyNiKlsHNMCE4V4Sbq9z2rctO0tlNV
/LTidItT5d31sXCzz2DSGpiwOnnzs7IYlkbpfiFMfBrEwOoyttdsVTelpdhM20m9RsiC5c/Idu6k
3s3WHBZlrXj+Gp3oaGQLZqQ9mnT8A8P9NW/YTTMaz6XKPkbHKdd2ilBfT0kfiB1eDBQoQdO/dsq7
zdjMIdE/6V1zM6FDxGPCIrqu4rOZ+/vJt79Kn4JUr3yIKyEWNj5WzfPO1IVgvtkf20DJCUtJo6Wm
2e4yqHy2oYO3thhE8OrtG/QXa5Yyt1WB4ArDMC7wSDvj/szA9YSf6DG2cGLu9QbfLlSQuzpptwTZ
gs10+STjdTU765S1zyf70Ncoh6qDDCClOowQcqQJdBQHKV5bK3700nodNtWW8dECG8KyzDmEQHlu
msDbFpVcFflbUGc3qXKeu8rYDzCjm8Q+9jV64K5gVJqtDNWBT3LlXg+xZsRRs4idh9LrV2Vj70Zw
bHnzPDKt7/tkp3jS3cR4oZS7mH23iycIbo7aho0HArP2dpMWTKuhq67SIwI1pocIbBzwsnp2VbUS
qFslSX2ZMnd90p4M5zQwu0YhFEK4qe60yTqPAydXQSSCinjlNeHciiH4KsajjyUjd/RLQDBdB8BM
SPQmE3gT62dDfMwaVTAIS+NI/YbwOvwZmtln4NsXi3gZS1a7MPavSOjItAJxICr14kYw7NqfjSAw
ZeTopMesRXUjyoGXMH/hFXkqR3FwkrfOjV8Jd3zztWhVx9Gp1duLE8mllQuOFy84Cw6tyehQsWAw
AwiGp2I5FrDKRfqW+lqyGjX7QznlDRyCXT6MZ7rMFD8DcWnK2KUWSWGguNqpfSFia52g2oCawyQ9
+0it8RhoZ3JDFxmGNFfksFeD4lzLeomcGUMTy5/wwUwPFodC0K9sjmWst0GTLu0GABQkuN46T5G7
J+Tnoqvwq3M7NFN+yI6A+zNnio6pqSN+IYj1c+47bB5VefLt+K4CbEge6X1LIGiAQi1Mm9fgnCUn
s36MQBlYJcCmOkKnUO+Mvga90IVPTugwdSIOMgv4bUW3zrTKWmebDD1urPrTpmUOQpaQJR9gZZ7s
FByOHJK9YsHk18nRJplUOvKpGqoPVbbeurGx9SRd8CRKDSlV3KBTn5cEMCTveub0SxnU7gLsCIVN
zpoC/TQibnZEcAhYguWLzBa3RSBfWaj8ML32GavVFiYDxk+7eqriYpf30VPkVGuBuV6a3dYfKGam
a8fSvOXgjT13aYn0viwyTMb1djTE2uk0LKTnrheKYIzhxORzEeBgVP1PPBNwhO6aUh36VN3CqLlE
bGTDcSUTZzncD1OwyetNILNLyTp8pZkVeXhBwP0BDUpv71uuotVIpxr1kPsefcd89nv9Pmx1zgN3
G9KNhjP7AE1caN9OsbspqvY06OldZ9ymFg9Qveym8E2DaT6U35ZrxAHRR983O1ACp7DApKKVA5Zb
QlP7Uv5U2VPAuznm/qFH/hVV+c5TNBKoDsLmFBojphb3Ksmnde3mPRTZQtdVuxKzH8ilfoDs/Bw3
LBTH8qmcyNcqtX1rHhU+wXBWU9mUpAO8/xIkj5FeO7EmO4cxOBmMBMawgFAc1umjjxBuCaYhPCi4
Ba3DjUxS1XRwvCw+F65Mf2giUOvMn/I9G/CKGrJSzQsLx/ypbKZuMYVE2nVJM/7MGiYXKtLdcxVb
HbCmPF6Dnde3QkT0DpP0EHK0DFhcMawR5Oo/ZJYEd66VyqOODxZuUizTnTKL+CkHVLqGaKHuGS/z
SWpN8JZSDe8SwMcMPjVhrJvCzw+RQrK0RJoTrFm88cIm4d6Yh1OoE/UvvqX7w0mm6YOFG35EARfJ
0yPjISd3fGM4fnNxg7E66FmUHnXNqR7o96iPKcyGRVdl9V2ZEmfp8hMvNVVyt0RBv9eNujjmnc0G
W2P55VQ+d9xEPJY3Gu7eR2fCcqtLFPOvojwT0eyvuWtYPLNWx9lR1Gczc7xDUrX1QaEW0iniaL0G
/CEHhynTubEdY5mZIxGCZkc9M+rRQ+42zpNe6UzMCbw5RoyZNnBb/Ys9TPnrYE3qhtlR+Uijw/vj
1n76Qe5bSyicJYjEwdF3sbtGXIWKgntgjONd3avixugZtnd2NFyqXAXH0X7qULOywqu2amqGe4+l
36OGJYIohHA0XwXaws1A2tXKZmoF89hpb8i2hdTChfkWYH3cEVXsHo0IjlqEM+kWxnFzK4ymviSt
Ee3TEB4nsnSImX6IIwVu2gbVLCtT6vqFtAr0CN2EosDDfZjbUcq2yi+26dxgo20Lx0XgI8SNk95Y
GqxEni3Wa9DVovQtwp15UwythZjEMY7oMdEqISwGWBOS8vY2BC1ONZRUXZOMF5bO3KRFOnYPNU/m
iCexHtNtnpP+iW/2BztdBq993YpV4XVXT5OPbjZdMJy+zjhSW8C1BVptTy126QZxuRyOJRnQ7GZh
lDhiiViB0GHIMgJFHjvcl14r9x0+T2az9qeESYBL7d0mNxTt0LLz402TpeuMyo2LwSayblG4St64
vq0T2lw9D2Z+NTN7H+ruTWK3K9sAQB5Z/MTttotvTL16MoxGrQutfsGoGSxGP6SiTOW1s7tHTzMu
xYjGjIkj2X8xaB1t77vjxQ39jng3wgaFRiBumnUoKibzMrroRbAaQU7I1qoMGGr39QaV0wZlF95n
0950VbPJas1cActtnxHRLZq8PipcxKFyN36SgaivH/962GF9Y5/+MexwbSnY6IDdlIDnXWAcv3E3
2ZNRMQnZ72TyTJsfHqehJeeiZwOsISE46DIrb4bcn+44n4L7PpTiCrc3ulReKUlIlln34iJF/XC+
X5V4fmvG+f0R85sUzO8U8eHehi1CeTS+37j53cvJ2Xkg8IIBSs6r2c7vqDu/reP83uKVqp+875d5
gFt1aGGrHXyPd32c33p3fv8rBdYXKEN5TlWttn3bI4HyfA9wnRePq8yovFv41eaGPaGPJJ9TZprP
G9/j5NEbFpWl3VtXR4ycS0ZNfe4HQfOgR3n9oOd1enRNich6qpoLOHNrAzYe7b0nOPPm00/O56CY
T0RydYwvcz4lq7EJ9wGOPVWUwZql1hwnM5+rGsKSdfp92LaJ6ndj7AJMLqgzCn1U93YEIiSwzPiJ
DQ4NA3NfBihBL4/l2Ad3tsqNH57SoHeWCgFcxCX/fQmQm4TJdb4Z6vmO8ObbIp/vDQhK4099vkuq
+VZhnpM/GfNNo31fOvxp5nuf+JA1K5T0hzvfTvV8T3k4s/bDkJ/y+Q4L5tsM8fxj6CHUwUxeT58M
CY9IHlSF3sqon/oq1V/g7mFoGgFqPY/CYaiVtub42qsB399osawufAZQMc/mupUkL08pBZwJh2qB
cJqA3CS7CYIgBGZhBjcFA2oEUCVxOIhBpRbgebcrx3u3U9HmuxygFs0NMtMNfgYHLUrz/R0haaVL
J0Wtxz0NKIuHKQP0CaQ/uc2zSL67pWke04hDYit7l36VnTOVQoq2tF840o4/LL2466xEeatCN0W5
CZBbFxXdwrJlXcPAK5XEf6BAW+iiGNYIiu4xr+q7XrNfK9CG0IM7OomJunLi8cU2B+BiHNZK865R
VF6TJkjXWh9VK7QeKSq7DAIxDfsXTcyzxhr8bBFtta4L+xF1KxWQZmKpRCjDCYtABLlXcu/2Uju5
4RCvuejrlafH4dXR4erLpo4OgZTX0IiuSBkDvHgq3mUOZXab6gef6JZ11gUDu5uho+hpkhhlr3wL
8f/sXDI2x1GLkYoC7baYmEFuwyNM/bHoU355z4OBfKt7Ea2RHzKhW5tMDqSBVbm5LcekWhmdmgED
9tYNsLgnWa8tsBaIDcNUxip69c4O6466kIR2ObD7MPrHIh+eMH9nDz0QiIvpJsHWBkTmLnwc2KcA
vigQVKLjYJayKtIMYLegBjYuKlGUdV296UzetdxlrkkaAx2YPzoLgh7eemII96MRs/GYsjdhJFQQ
AmtD4rjNNlUWrgDWEDxW0J7LNB2WlTGL4wvsBfhQyqVOhOayiQTSEOISKC0KnXb+VhCttcKnyTwz
oOUPYDk/5V7Dn/BI1+rN/UCtuitfJ/a+JchNs0zLfqxhoxzRX3t7s1D6vFPBxuo5n0ZRp9fYJEjW
HThQCDP8pIv5GVnyGqB5IbM+xE2i+cio8wIEqeSzSxSeV0VNkUQ1V3tZk5iD4HOhxvCDzKSXPnlF
/g+PBvpMYyKxyZzbyYAHMcbZT1lP96ORg4NFOAt2q0kQCbjEE9F0+Dd1ZXYr+L7k0Os0Hh1MjGWe
2xUaSFN/VLztdK/GjyEny4Qcs0enSnbs/9Vas9yezrhAdAHq++Q71pHcXdStFu/XUHFJ5BrlAANp
QsWFiV3dyUsSjLp8H5haAJfbn14id24y/TmxcIg7vg7v/LSMmm4itRKkBMajYOm0ibZkoWteHBAx
71BjrL2vSf0Y9KSXEqNdX4gTaW67Gi4RGuvhw+P8ORpm6eyGuaLq5toKf1h7Y831Vv9dec01mKk1
zh6NnwYSbq7OOHHtR3cu2aq5eIOq+rctw3+0ofrXu6dfV0//699bYv2/xB372xrrL7Fj1yos4Er9
i+0XX/bnGsv8w7JMBEE4NJXLROQfmyzjD3ZHyrRJHZWzRZN11T82WULM6yrJl7jSmiUSf99kmX8A
q9RtV1hg01l2/UdoT5a4v62QKKckGgHkUxLZo9Lnf/7LKqvIYk0bbaOFuU3YQEsXz7jb3aUdomBD
DS8oxeZIoyBZIicZt1PefGFyfo5c9yV1Ev3eK7G2iLL/bJCPL+ImnQchkgw/zdAWA6ioh7jQ66PT
QfHmAMxWUweoCgjInSw0jDVmF5BUCyXR94sbp4hJVgzHgNJYvOQUJ+zvx/ucli4tklv6hXiV+Chv
yQAGLh5rn4hx8dKRCCFyrXxD28bAiX0SNArsRnyGHt/V795C1mPalJ/wiuMlb2buAlxn8so9kt1M
oWFQp/EmbDIjdJ5joYFEeShgEJ+CzHPIgHPstEfjOT55itlWGL/3QQVasEmSRdeM01mDd0+04QCi
E+M/ob6MCSPTbu/TMSKCOrZPhTSGvRmLdjN5I5kCpUJZURoIgFFHjAP7G2G0P41W3dSjL9dGZTl3
aN70pSoCEprqeDvWAiYSoV1nJyLRRxtq78NihLqTlB0HNA3FClaGifwP7EpcGcUBnJn8aOT4Vg0q
WIKnLpdF39WzTo//lVnFRyuVdvZkp++RKZDZhspjNSXCJqy1ajeEZX9FRgPdiuyzS6VHatP7+NXb
yEAAqRO6RTQstrKAWIJelRVTh8G8d6m+isILlzkAAJQ2bfxi5eOL7RbBsudOWZBwC2u41k/2fH8X
Oeioab7TYy4Voq7inZOrNzXf+7Ljl0+0bcGmN9BidBQI+Vwp8KuSnY5j+Bg6yZWFxNWZ6wp3rjBS
fwivtVdRyTkmFSe86HM01ySoQkDVzXXKFCuLLCJql4YixrGg+TvMos9tVD7zvKqvYa559Ln6mcy8
WqVzRdQVNe2gdyUnkMwCyHBoSAmhporq5nqKxY29wNP/mmSDvoua+t6Yq694rsPgddVgrvPmCfIL
9Czpov5T15k6nVm0m3Q8tKcBNty6Y6wEjR3G2zDU87IWC3G1Bf1u7zOPfRCVWlXc2nLADCA0bRVU
cXIBoJGgIGLBlYZGscHmU10w23UHYtfDnR+DJ02CgONM1dupKQhAiryA+XKF0IVBxX0d2e6WqhbH
p6ifDL8eHjBYMaJi3b4jOgXHjS0fuW7NbRx26VMSgeHkj6pb9xAmmGNHYFjQiHuvzNy7tReb5Sls
ahzZYy/R4uJY5bYWFZQir/rK4cStfMpeppH0X6QPD3cMAtWqgNrKEri1lk0tDxIBwAXNEFhvmBWI
hfvwrjfgRIwFmiY9mtJ5xzz9aEbFJY1FVPZOzmo2IjKmmIw7LyY6paWjmaugfNPoLDz02mNmLf1g
BS8HTZ4sGPWbgchQ8CQIlSBGyJXqSaMYayUfyWRydiXhoc/JjPfSdIdImQ49fGgjqI9wRR1LR4SP
KiyY4+az3DsQk3mfTIZ2g5droohLomfUOc96QNecy5kx4WMGqofbounML+wY3X3Yy36lhTUwP6sD
fh8OZL27QOYcxWaK7qj/glSRXpzC6jHs0QPTOzF+8HCOa04SbwxoDa6dFDda5R49LcXUhZPFZxep
ENQtUwxJuENLYr88kzc3tKJVOsT0D13gHO0kjW77yStOntFEF9RLTGD09tTKsMNT3JTPON3aBXs5
Vj/lyNhtrPRVGxp0ijMrqYsIB+oUP0bSj9O9F0x3g8jSlYngdZWPfbhHTX/HPcSkEofMRujC/6AL
ghKTEBM2lDoWP1KGcjNrLnnsQuNzgYtZGXkwmRmeBtytBE/a+Z0AYrVIQ9bzlUHHhyxi7sxcbzVO
BhW1BhJ7DyuvXSEAF6vvEHEsXtVp0HABaCn5jV6awOJ1LE7hUHxBsM5WStI4wVG4Syv5IzTdcUk2
EkIDBYly0AtrHXf0sVZbT+uu9The4Myt8sx70u2cW3H+GcyE3bYf9mqZN8p8djveZvIG5dr3JnWO
4wA/tdkJe+bX+v2H5rd4k6Osr64msUeijs5p33L6GnTUMyvOdC+d5SqwxbGlwfUIelyFQbthO4L5
WIvuncGYV80yegKMJteliQYDyswT+UhbofXJSnInZEgR1Stb3mlTquIzH3igZJ1cuxKLXDSQ65Al
+s3UTcwl0I5y20XkIVUm401NLav5TxqiiLexOup5N+XoaXASsgn+oC5+6xzT40MlJnOdIHWAlwQp
DylMeBg8/zYMyurs6kDtfcu8IxgHECIjiGWOfw7RJuIDugGy/iLH2tVdXF19rBsAMP1yK/FgEyaR
v+sap5BM45VnEhLTiI8xY5lli082jmLpNaQ4hJb4/J4z/f9y979XbbECniXt/7Vqaw5GS0hI+63e
/fPr/qx3xR8mCnXp2IjATGZ2yOb+VG5Z35WwrUxLVwKF+S/KLUlRC62EuaZp67SaOLH/Xu+KP+Bh
UgdLgqYF/0rnP1FugXX/vd4VrmW50qWIZtPqmL/Vu5Nbs4lGLL8fQxCamfMOxFItwrBKbwJ79E5h
wuA309LHvIjRJsWtti0RqLwPtnDOkVsbNHzuNhJkNuKa4Pam4LAz99G3U7VKKkWx2MIoXY5g8nrw
XXcdks1FD29y1RctqTkBSLlIVRWyD5tVJ8VYLc9jjS/QFciuHSBlTefdtdpAuE3KXAVeNx4z73EI
PHeDMYscjlSc2FbKdyckZLijs61z2B3EP0/nJJ3SZdMTOZQk0IE79oWYpPtNX3fFwoRYNjFcZcfU
ptaqTLE/D1AKW7/SsGf0d2VgU02qz950Fn2RElyINaE27+EfHfOq8JeY2Jdtbv4kFno4aIE3r4Vj
d9qaQfUQ8tle8jDNN92kFVuUm48DezGp9adW8GGqprCAHvJbDq34xs6abalhZGX1dbZEy7pbz9Nt
OJBfa47TjfdUK4tasSQcMihbUrUCYpG05kmKcYVReA1iaSxTu1wabvazsbuJkzzaGEirBlcusjG6
lmy1goLLsHLQZ3QF8zAmaSAIo502tneaKTr2oPXw2IaT2FtOui5QP6xIFMVwhfBmcEqftYYfPBCg
ex9YHehwrhm/thMSyEZ3GeWpfRF4ZRYskrFxe3A8RlbXW7exPW4AV+yReI1XK83vrbi0Ua5ZTPCj
NBgf9MSbGD3UTbFttMi/DPKMpf0RTHuznSKZ3faVpi2brjv7un0J2KDjj3/2kxEtNCC6ph2gmPcV
2db1nix4ilH/uff76ogpmuCZkD+q+qaqiBHKHrBIFNx6ytoJp0iWI00JaIY1IcVLvUPLXSpLA8Y8
6YvCLG/GTidaC935CMbedd1NDsYLzRgaiCfsBHRDQaqtAOzxvaN9CV+wSgr90QyxKoCLF8BAFma9
QV/H4tztjW0JFSETxruN4/I4wS9EzX224mlh6ykbx/LWalzGONEKY+59NQXGa4dlE7RkHq5tUs4f
lMw2YJIxIpsjGxYrrbQLhlNxi9kT/IoCxZFZrvhR2GV7bLB6NMt6FIBzS6s4kFs7HiO7ct/xiQG0
bjP/qBn4OBi8t/uEqNbnyPJxm3MthafADPR9EPnVbmTBd60djCU8qjW6KH18RYhPUH3Z57eBJP2V
6K7kjSvSwWsZTstEj2HxFZk8BmRGHwssshtD9v2mMYx5aTgNZ/ZZ6XVqwuHqFml7iPQifUwrTLNl
h+NnURWqegcb5qxKI+husDuKsxJ2cYo7t79D7mLdCINcuUavjFcjSlraFsgEA4ndRzAp8b4KlLhM
VR58WfaAqqNOx+qzSGO6Vybl6owdITxHhepPwkuaY+IBPkb/3um3LjDP+97qStIFTeOUxnnwSFml
EJlhJONRcf43e2e2Wze2ZdlfCdRDPSUNtpskEpXAPb101De27BfiWJJJbm72Pb++BiXLYTkccR3h
yMpbwPWTLckUD5vdrDXnmCeW1usnKToGSNMIuSnXFu7WUKY68/mACCFQIEtA0Nnuq1nmO0JX66kK
8XXvB8K6Se2EWYDEDN99Shz8qkqRsInKrXrCxBiG6qywq7w7knVXn5Wzv7cN9GFFcnW/GE0YBkaf
TKseMzq+CIxwaDNuRVdrG5B2yNNdOVdQayNfOWGsb+gt1Mig4hDgQRsMPHOhcyEyXe4bPT0jqQOo
d+lPF2zfWa4EnjodQ1xSPEm3DsZP3Ki+s6txUSypaziLaHRuqoomXNv26bloQ0+ueuL0boqeZIGt
D9JkWtbuVJJRl3HgBes6tiUCt/g2m6IAcira4WGrp2EEPxi35nvQBWW8KjvinyH3ZbcWLKT3NY4q
WI3TRjO9q9YFEhk32XJEFVpkILfLxkW7rSuBg4NoWytEX5QayPJb66oYmpOoqK6DyvWWRQ68rxsc
8ETxAI0piNeJgRwM2ua0dHs5Lo0IIeVkd/ugyk/cmNc/jgk3gwm06bMYtHpbjeuUSsGi7EV4HwHG
A5LQ2xsNNzGpCCSg5DgUGGPgr7pRIq+KiUitog3TM5CZ7gy24lGa2L8vJl3oJ30xB4C05C/Gjuaf
to4e3UZ6aJ6EsSjPyPzTr3JD6BdRYtEq9uOu2XOvhxPsxfFpr+NnZLXJ885Sun5wQyTaC8u1osdU
5dlyqIJhU81vCnhJsffmt8ec36N2fqNU7eG5DwbrLMF4flmUcXli6xnzc1R3+AmZKjNR1QcszHNC
o29jdp/fYH9+lwnyHm4COMM33fymQ2sLj9Cl9Sy+GQfieUQYJzplhZ3TKCmz+TkovWtEfuoD8k0S
5+dxZZpHGHsea5x51Gnm8WeaR6J4HpN8rdCPEpogJ1koGLKGpkrfIUxuj2RCRknR9OFeNSgTu0Z4
B6nMcU9gNIUgqBgXRIEzMPr89J4FiLhnfx1tBykaVGBQxvlp7bwtQwFreLTXcUxSAtrlcZb3BRX0
83ryWaEABOVje36CW9p0XNljdQoQEiE0FOnSCK1q3KU2xM2zzJXeUndKRy0mNrLTyvSRQiBf8sET
Zaz1i3ewmSvUvU5SEGKdEWW9y8OqC0/ItwvZENb4YBdt43UtMqps7HntYrTGeqghoPWiiOAsfxxK
uquTA14Ujsmkw5KZ9wxFJsG4l411bmmdeeqFg3M5aCjkFcjWdSVt46qeKsDZ1gQGfluKSKm1VhlY
jwKqa8gkC6prnSCl3vMxzS0qd4q0dZsqVkDseOn+uwybd5NSsbUEUGcwtoxS+jxiRmmcEOBnXiX4
YZAylZduAPJzkhJNXD0Wy8bMdjW5RPipmtumOxEIRdkr6qeu5xendgyrxGy0AN8xeXZJhUYXpTw+
rQDDYOGHwyrNi36Bz4GaZCc/FInfb0bZ38ObL5deZQETG01C6sv+LG94R+EhfIzdj4hp/ePRpDIn
wKmuuoZpwMpLe0GOypZce/q3xpVEgwNY00O3CzQ4Sl2xDFNckm1pu/sG1OUON166jGNyLz3tCmQH
c14MblJj/l/rU3Gv6lyb7xHqprGwFlXUXzCd305GEX9yAGIc1S2t3l6Rx4Z3t18MgJbeGp4+rqRR
jp/oaPAMtiF5ZyipG10ulR+TR/Tvfd6Tx+eH9nk2Junf3+ctIzZ58W+yVHSD3df8P593eq4gZExn
h0UT3aN/MPcvnnd6fId2BsQKgX/q2bzzubFh6W/IPCFIZfZsz/2QXzd6fEt4wKtpd3g+47fx5yw6
/PKvrTHsPlkz6C6zAXOGTaTK674GgZJQ81M50kOvytu0zN270oW/6CEinTkw1fAextjHIDGqR96Y
7EM/0/1EF0Xt2q77fO12ebV2mYHuKgPKfgeafGV4sXpwVNi++/fD+OMPo/WHPbbTQzY32b5Tc/i1
x2a/4blE0OHZjolpb36qvrjF5kQfguuIpiAHb+6+vfTYnDe0uzCqoZ5AXYO+5teag/XGswRSI92y
6IlZVEX+hFvM/I1NSydFzielz/FRNxqON9ckvlq9OmUNaAWK2E5WcbobUS0Se0ZOdDNh9mxCMwTZ
PtwkENq2dqecZRhNw21aN6AKjfhdFfrlqVZ6OJiCdNi7qMGv6s6+NLKUYIXJYFPZU+QnqFqnYUMF
bRFVAYhfLz1tEsKsKjzJNhCSvUrqKw3fGm7TIfro4IlCHyhBBXTqQnp09OjVp2Sn12JER1q2LOGo
jUyrgo7ajT+y3x0CGO4YHopTJtAhWqEzoLgc5ShlSC7axkXi7jQIws4OodNwTZEhuouL4hHYYeau
wsYCxTjE8kNMlg9cP30HE4fkagEmK1LJvseJvaotMiIyG1UQ3ZeV3c6iLqenMYLR/kqGqoTS7+xG
UisQfMzoxxiR5lQhC+zKGEllFN/hOyJgDxAlqjcyf9lkQ43vHQsFZzXLj32UknpL6hHsUhZhJq4p
CibFld7Lh96pbTz9QbC0ohF1rwHYH/ST/iE1Boq29Ou77Yh/gSnWDq+7flg2Vq9ddy0Bp50S2lb1
TpCtCsLtLmHLeIgew57uKdqHDthWNR/T7FlQMa8n0BaftkvxvHMKSHCCjmOnQCkhDdK5UMLcqQKQ
JwHXSu2LQTVyE0wmvRd7qJMAmVhAVGDkaf6+y5HiNWYVVEc1Lrdoi9CiO8ZtU2Ia8adSrDpnZBlD
Ya4LloRmKxTpqY0Yt7SGtxnMiA47c+1S+HZLqsFdmqIpBC3gXzQulYdFiq+3WpLo4DB3IwaHlGtI
8BG1qE4ncCm0o1C8zlyQgHIFmGlj1SCFwWqk5pAI4FvYxLpzx7Zq43JMwAcufVlrrOZsV7nr3jbY
ffkVu7griYoKaB4hgOUxTxhJC4p9H9EDbmmeaVoPi6WI071btWGIs66oii0LNWQmkh70cfOkdO6N
apaY9/5l3bFtTHTBMrMPoLRixtObdNUBFWFj4LJBtM6Y3+5U7V4MkvaAinWTbVi1ixoqNk6ln6qC
Agte/KturgEV9nWbifVo2ONZPNdUUoL8+rY8kWGwspIceMCpSCm3Za7PQjSclk0F4N02e2fVpGN6
RIqHdRGPlvbI40y0BckkbMCBnWsrAuQudR2CYd4Pi5QhauOn9HX5qJ+s6TIll672+D+GUdylmikv
a10/Aq8ar/qKPiCmFpt6ohRUUuiNxyq59gstoARXX3hiROg6oiPqoVZ0DslAT0Wr1opuUquLgL65
EN7JtdiVs69RiHRErQMD0kjzejlCOaWXmWsH28ZrVbpbCFURjRvC6LvCnakAerYoc2vlwmADM+9j
BgyMLD/VYyk++GN4bSoSDmKkhts+UAWvjNwkNomHhkWYLDZ9936yJ9bmxrg2vKE+MU0JXQuZZJSp
gCQk95qh7zSUSA6tcjQhU3mbBvjGKJXa2KMptqVPp5Tm4NYW+gMZlqQNifExTIJzK+qBZE622Ni1
d6MhQnjsGy/52E7hp6+WSt8pVpji9dIDwQb8F+QUiI2ImJttyq+H+6wYQKjGhr/TwkJfRKk0F/6k
6IWFQ+GcR8ij4qU2tSB7HLA8JIYP8V0ocwpeeBVFhzIBcQFbO8FbJ/LAv5Bm0c5EiKQimCCOPdbU
RpJjEgFh8javMuMeKjHvs1H1PbCDQrnlgjowpiSsDWgjBnxwx4kRtdE2wnGGZ99wGCxAHu3ZsnTd
xnkaTXCSMLKUT6MMtim1H1JaRoCVR9dk19bDa6uqjCKCDp6Qnpy8aqRGPRTQlHtUlRgRqrkCYAZz
EkQTbjCCtCcKIFQPCHPTxqSgAZ44gTrc7x3Mxhjsoj0KDbmWJtI2iJDRCr4RuQwZdDpoJ1fTXLOQ
DGcnIgucbVmatOtQs7NDjSFzDeSQZJl5DMumeTTQUd6yd8zXpRUpntW6TLNtnRjtAIsn91s04YRh
11Rd45XQZcXTbXuMQnZhyOQ6Hmuj349QIUhg6ynkOIO5HnxBxnNJ2rbvhxg35kKQmEtCNbWhOK/k
fgwN+wI2HvAtLwiz9wwKcOFKd9o4eZ+vAHiRKpqKUp5DW/QeQhA16ziTl5XKzWOh47DPEcAbpxSm
E7xj8z6ned7zNOkUn6RIh/YR+9ZzAIza1kUigAiWTBADUdwFbE6iL90wvA9K0qqgZ5Tth9Fh9MJ4
ZJ4HzixkpGEA9dz4aKvA2OlDndIscJDJmGl1oSh8LWIYySrNcXaXBNn2dYUeResojRCpI4aqXFNH
qZY12eTsjvFvjidF49xF4TSsuXLvALgSoJmQPptDzFwDIJ0zoo2b1G9yYmeHXQXvmXmu2PqD9RDq
Rr8RpXZforWJ8AsZ2yJqji0XUoghT5Rp7Os0eBeE1gpo4RHIiY80D/F4+2d611Fib1tnM0ztQ0rC
w1lSWo+oHmixtoW9Mly92niD5u1yoznAw6yPI4/Q1lok0cMIh+O4E159mSLjPqprFAWyADmSpom3
7br6ft5NLDPHeuhsWg7w5MUS5Yi3So043tvwLCdwhVvS1gwiTvxTTA7j0kpIu80ybVxZrpFvrKYI
lmVL47hzKlz4RUsHG8+fz81OyNxaNx51eCU2eVE3p1NhVHSux3Hr2gWl8sG8xlIynCrDiI/M1KRw
Z4wEHNWGOEMeYVwmTlZfOFm4hvkSH0HXUsuQgpdaBBmUDOE7Zo8MU9mPNazJtdkaxScUimSEJCLf
2MSkrNIarKOVmrOq2QlX0krktuyHmTs2K6EHx0UULYbRfOc+SaW7CtV07MQNph9bx4kRS/kJGBgi
6zTAfyGJF4NCbA51sSV2LArX+LZTFAjM0dU8WydPE3fxNImLpwndcjHE7bynib57mvSnpwXAjL+l
4f60MLCfFgliXi9QqWz+vfV//JHdlmsT3m0KJIeW4C+m9ccbr5PDwyGJvt53ffcAz8UA0lNRKaLh
MARJ2uz6v2zBXPONY5EfTsvV5i/mrzswy32jMzsiwQYd8Hlz9rnra82qSdfDok6VgEAh+091fb2Z
/PFVNYDMTdu1oU5xmFc7L1s1eMuTJtqp3k03LSfPIpHIJH9J+wUwlEWo6t7VMm/bwu2ghOu4xzno
NGImREOOWzFhqcs8CNYrd1DVW4eY7rPa98a3RIj5NqkvXlZgVk5Ze0Ea9q/oqNaXbkIg8NKVKeJm
y53gny6KMNSqZdEZAfQLHeFELUsz/Mg4rRXkhOX2aW061jFoqf7QBWP2sYgSh7WQLYttnmYUSScH
TTp4wBoFdj8K8aEakZwvrNwfxu2oN3ATTKW6kvRiLdBmn62NS5cRujwGwBNfDoXrhEs5VeWNQzHx
uvVAdIqkZTcwjJV4b45JSja3MWrLoTMTUrAkawCowGAZFkSV6e9LCasY0B9hO0ufjszVkMWYJBxp
dffS0YZjX6b2scGi/MrRnAzLRmxem45s37HdcS5SLUqv3DQhV7qx/R1qpWnb6UMG9FW4wUnnEOiD
7BN7cYhN1hS95m26tkLkRYZddO/3gNN2mqoxgyhTdOC3kn7aF5qwPvW0TK7xEk6PcZ+mhDKHRfme
1Yx97rejNICFyqBapvBQb117Zra2bdpcRIjczyjZor30hwKzRktMwDZRMaVnGXb9rWsI7S3Vexgc
SMv0W4DaCOl8gYV/HRPPwJo6Mj9Koy8JDgM9bpjkHqAZCokdzQT0fyj3qbtOi8DfM9Q2J0x5OClL
q8p2rizj+sjGJ8NO0MiaD6mdaPi27bZ+DNNguHG6nIZWbTe0yL1G85YuJspTpHOoH9HOKbVqfBs5
Xilr/xxfHSBdItgIkHX8jm3LqKmcdsgEvnKRjmVur7FVa9YGqLf7mJHITkCRKomjL2RWTGt0o6ig
ND8FWd04pKuCl47u9Nm2QAbfQOyjM7Dx461hB0HiadrDZ3BbqvZBNbTLGF85169DarBkjZfRRHfG
6MqhdQVIsBbhXUos3qdYFnDfK2UC3AhEs8Pd0hr3BczLlKKFMDogvMHEIzWQn4rBkjyoi441wUnr
o8MlcFCxGej7Gj50NFCth4650uOUf9dmrZ0YWozDqGtb/4OdT5O8aKJOwJ4YoK/LfkxvgabaDzDZ
4vdkKQXeoiK6rlhlMSELqFmdjdS1xF7OmI+jIqIgvogkTZBFrCGnWplZqehn5ElDqcEP283oE121
iKbRe/S7SpirpPYRb7nKQXcxNO4lYK/6iBU9MeEqbYdrTfn1R79y6neS2IEzHJwsE9u6YV6OBiw7
ReV3l6AO6ne4M50FG9h8P01GuSFQXhfrgYgXRGJd0K3hMDfYSPKIvNUC+irxNzlhm5PsCggCdbLP
jMSJ1kIKkDmSLuIRWExM7QQ8UPThqewXirh6fJgO/fpOumIt6ry7Z5+C5cWQGIKXyJqbU0W05JVA
WoYKIMiLAMf8OGxnbsMWErh+hGKbNFiT2/i+8pPpATIz4mWz0cdTHcfSaQsE59SHokHrPrfdqz4t
4uuu0+hmqE4YR3ovpp2NWPcq9vruvA5NQdxMn2noQ9vsLs8jd91NhArXlGRuED1kMe3/cNoAeVGg
tv0CI3ej06NC1yI/ZHGfn0tVOah+wxnCNgxHKE6nh3a0UCuPUZQbbHRzQvSQFnPv26Qgm8Tuw+I9
3pUEfHFoIrGEBwZRfXArUNF6c8vdGWYMX2ic01nE8KTQQR5rztDXi96rLX+be5LtbqzRDNFrqy94
VmX+EVmguGnsloew1FtsZGFfyg/AWIo7JPMwacqympOZW7txNraYTFh0iST9sHEBlyPI1Yu3tWR7
cmV65KtySywGHfQg5crSMt3cR3LU+1XH5Z/wGjezZqiARL4zVW/ZR5VOjsJ5URbVKWSQAHNU5o/J
ClaSf1aVrvo4RGH0KdKqfFXUenwTmlUNyVVZTDeoSpE5lYEksTTM3TUeZ8QtIQvNnY0cFBVNjq3d
7krEHha7z+O274CxOJ1K2QDlDeBmaWKmQ0tMtcELhouegJBppSH03nakoRwZNNxpx7fKXkI7cYYN
+SHyxKoMjcjovLGQd1vRtsOh3A6UXyJS74sFiOTpZJQQ+do0zeasC5tqailSia0zydZgmPf9AJhu
QVN3LtpwhpdF7tbvLOX1x43GigMSZOMgvUnonZHkQEBBiLzgmNfGyd+lCXvAhd3UO1d426ZWeJJH
Q71XHlHXjUhZP2Ckx2+V+eo4snq0VIasQOrGdeDoJOZOGeOQo20r48ryhkvToJno6eS7KWYDJuq4
uVGZ8vY4GweUOIG3tLO6ucqCtvtkM/lsEUJax5aPuovt9Gqi0LmbeqoyZlPXt9bgWDsvccgfomFJ
GpJH8gBNUZzM4KX8i9YwLOg5fUtNlOLjMWzidC3GuIUyYCCRtlC6oUSL5XBCz7GhjZzrbKmD5FQ5
DOQzW4gAWmMI83GJUExD8ykMGO5RpxnbWo6+xPlfJkdTXOdXprQVcS69dQLGXu5Bwtv7NmrBzlDR
r++w0Pmr2sm8ezEGYElFZpfndqq8KzTJLgr5JkN4WwSk1A6a+YBt1YRpaGSXpaQiWxK3Ya/TBOmC
7jTFrZ7pMd5Zbn+OK/kujRJ31tUlU72IRagvDFe6ZxnhKfd4KhwCwEjRXYqqKUi3853l1JTNTWnW
9T3REMWFoJN5mlWSonafSDxlTk28EbFj294hfhvPWWE1rLlM9wNoLmQQ+UyUFfbckHb6NHwMojI6
TwMNRVtbuBQN4LZjgigagwmUcPv3nT26NJHo8Gu2hde/1IPwvQuwAIx63A0fNAHMkugd6gOykQNC
Xim2ESlLcJKEdewPffKJ860uKGONH/2phX46FSPpHkOM3gpMgddQle9pAsia1IYVacuQMIUzjpce
oPYN0ev9WypeYuOWWXrwTcFSo6iTmflfB32zCKomg9lcWuGWW9WfGGHYMDrEQXUZVxa14rwQtAOa
STFSmfnQKPRxURUfu1Jr823bVFVwxPaM5B7PH4TaEIlknNVFYb8z3R5rnFnrybiJu7RDNVl5hDPH
Jvr0OHTRKJJeUjerrgdKTl6JPlnL1iyhUwRjX73vm7iSq4pGeL6MJxWcxshDUew0gu6xkfkTWbxx
cwDKyaTWO55xlXQu1x/9ho3kOJUt/ZBUvbXtqLyiD0DaRMV+6EqOtr/qjI44VVN39zFNeOLBWv0x
hpFEsoFTZ+aaeTdjADQhGKCprJxrDLIxAcgjS4JFX9VRhtZ7AoVgaGxhLshZ64JN3zn2zlVmnqPT
swt6KfgSYV4zVXSnZlxDleEuhOFyABK8FUbjXSllFuVq8ntvWuS+sj/JVPMRnxJCc+s72kiosqY/
eJ5qW7gpEzN5gp4PgMIgkU6XbQmrT0lZACFpohnlFH4ywzy+aiZMmKNfGPGGNSa5RbYXryc3ry5b
L6sRQ1YMURlmz83Iqk2u7AElP+59j3GqTTwqv3Vw8PvSvNIzlhhrVr2+tqxS31HroRDDbF4nEoLu
zsQaDQSoP/HBF1NX5hstyIZ15Vq8JjbzMuCdAQlpKfX8YIEYNi9kF6o1ZDEgU4U5XOS6QsyYFXmP
3baokNfzVJnLIC2jiwBc+5FFBeE8AVlSLUZR471XnVkiOrVm94bLIcNbGQM+ovhpFW8LOi71qvQD
9SlX4LQqS40g8UjbXKmgxJUmtWnltpT2qmrQyLKtGoJSLIStAXZAoCohzoYQosm6nTBPBEWcOAtH
D4tDpLRqn5BFwgKfFJad1qBjHG2EHVv8Fu5wSjNEQ/nTcRQyePDVujQdmNoNYW7hKAfHKDGq+1H5
LJonZKhXzNzgUSzs5Xv8uRniHT0hb2bIra2u1cBVSswmLnPIOqzMci3MiCCETLrTkS0jucCL0q79
nGyCdqzbU07aPrYtU79jHTBjf/1sg5IL+4DTKMIz+mAKaDOUCnM0QKJBJi2+ulbDAw/ktMYUDH2C
3Nn40oV8ujYK8BsLx/OdvZ6aLKecJFgTb/WRdaq/1Xkn13nb1Gt8E+EHEL/NxxF2Ay5d8l5W4Wgm
H8I6dy/hdNcIxuxUHmNZVdtJm3MQw2a4wSp3QawtKkYdGIwTV7yX5oDgNBDOcOyVXb+zCxXuhSgS
rruI8cPgKV6iKna2eaKb78pqos4NFFrMK/SUxDFdx+vj2vac6xxKVrOk+3x0GGJ2MctSlEuDrE+B
5+H67nDAtFWH48fUSDVbhdakjiBqsIjW0zi/QfTrbVjCiQuBe/zankhQx3emXeTENq17gnMx8kj6
oqVWYHJg5DWPROh5a3foohtePYDKwpwY2oK2YHgMgYfXbeeT4ZZRO84IdECYGhEPBZEQRIHnYXSz
hJ6cOppFjFAcEbBkToNHbU+CsFBlOK4cHd1tpMOvJwtyxFTfyuaaXOT4tlVtd+FroXPPu2tcGFHl
P5Z1VG8wxgfw7MwR74dGj+2d2eSs6o1EHjmlkHhIdJxb2NfsZdowXsVta1Lh91JcylkbrdosTbeA
5EAzgXU4MgtRrGg1DHtN8WETl4MsqNuVLFnDHP6Jstp3FVNdxG8r1UbXDY5JifI6MMEaNVGL6XFs
CxMFKdQIMIUSCJ1lDqc51muDKKa+dZZ4q7IbIzXkRhC5d5Hb5ieXzSCzMv2SejWQIn4y2oP7dp4+
112SwIFWg92/FUzK3MupzL0NnMbmgbyHcfkfbM5VEZCttrNGhxWNqoZhpQsJ92kaI/SyTCntSuFK
rJ8zAf5uN8n/X7bo2e8Bifb39UOnjyHxtYfx8HXxEL7v5//4xRjt0orA1GGgv0A/xCGfRRue/8Yz
sD8LxEDu5++8iDbEG13w28lkpdjoUtL+VbThvNFN3TEwkiARpqD4p0qG5lwL/apkSKwEsiHkSzqF
SZuD2d908XB6NczsrthVfmWz+i4T5iwPN36FLzqOHoZEqWNWkUNxxC6vvbaN0QvXojfktCFEz7ot
JS6TrBGCHrBIKDqlsUZ7zumbodxSDLNu53b7adD3OsEwGoR2y8nwSbmDD4LHtm3p76CCeMlWH72y
ONG1fDiCpQYd1AmptHsBsOzacekbdnSD6KAa2o1vtOXea932rrAHEr6lRxC4rtgiZd6VTjMKlAZF
r5HuIQmOvLZJ3VX3jP0FYQNYDEvkk2F4olNUahYVqKETJ6oLteptNM1wpb2tPal051KXOy/N2NwF
jjesQmeydjCaUKHYgF/ohwwErqpRXPaR5d94ue9teyPpIYspfylHSnSUffU1G80CK4qPBiUS6FBs
s3jb5V7fwp+iXrko2WQYaF5ZpBfxmK4pzVo6feEgxpqa9d0lKd7kKYUZTaCTMm6guAVe11lIChUt
bD8rYdnWCAtIhtHwE4JdA9SwCY2R4ZvtkmZcTgbJlOdVCPri0rB1RIuTXgbVLpEaq9uo8IzpqNUb
MgACJhIWdDIwunXbksexoWuu7qhPlc4lYUMwPo0JuwROW9NOsF+YybiwprprN4Gou63b6NGDnheh
u0yL1N9mVWu8dQIWwKtQD0MQS/UnH2Rfy8h5YWaeeZJXY4EUW9d22uB1d4THDAtyVi/6IaMzXPYN
K/khxUpR9StqfPElym0U7bpKF7kKJEsshwyfmv3lg5V27i4HYhFvY4B1xkrlerkicNGjGiwJHhxd
vKmrNG68a2Vo40kfYGggYA9Gbc3w3bAtXrUWohsiXNAKhFZ+rLsIdLTaD9d67B0jA58zQozpJiD/
asNi0Dkm3gBDrNS2BHwBO/XaZZLX9fVoS0ItDFGfa6hFNj1bEmZsC7uCrahqL+aqTwrvhK9vc9yM
J/jC6EVKPFQjLt2TqqRbOgfwxDc8re0e0AeZXbqJ13Qx+rE8GsOEEkxOfQEDExSRImyPKOgm5z7N
0/cN9xYhSB7AdAzNAeP/2A+Dvpi0nqyGag7tSd23Qxynl+WYb0EWqnXpQ88l5iB+cEytX1eeW1yn
bVgjm20l130WGsqwfO/6+LSBQrWnRTM+sg9kLVKMZgo5JWh2iSaZ0ypXS+4IbxDXfQ77BYV94n4o
xgZuiZ4K+2iOa8JfNLSgCbCfCs1s1w67y41eViWYQreHguoQ8mAA+1YDYDEbhOpO+doxNTfBCJMO
p8LR27tAr3Gy1qG6CH2rPK6p9R7TGPDhH5ZwivouaP57Jrz/MVrI55n7u9T7Lwj4+bsXeZw1N/n6
W27+D/3Qi1rw+wf6QYy+MDyLns+3St2nE3sC+f/RcdQB3n/7AKffcN9ACZmnRGYwLA7h56+7/htd
R4GLFJfplD98myn9qwv0e5fgjz/db+MFfnucV2d+TyG3mWMJwNJlr1YMs83n1Srjdz77N0f49bOb
tBEdcslh9T9/RtYYry8BnVCajD5Sz/kPEtD/kUvwR1kKs+Ya1N2PXIdvDvPVdfDeAHmB8iLE8wdF
Df31dXDfEGNg04o1ni/Tswv4//2j8M0HeO5qHz38n//lohAyrefb82tuxe88Dt8c5avLYCL5NWHt
2GjT5z/fXAbjDd4yHVaP8y96GagVGN+Kpf/sRTAQSxu6baKJ/+5FEG8MBNMGA8/zRXh+B/+FnoU5
Mupbm/qfvgj+G6TiIJlmf8D855sngYuge75lfh4a523Gv9bAAFJKPJ/UX38dDOMNLgtozbNz4+vh
wHuDfWLeTD0/az9073/gh75MnYShqoenmTV+rL/KpPmnP/Ay8/z2AJ9nlHmsoMPxRa7/9IOzI+b5
0M8Dyvzv/3o1SDzNel9982UW/Pq/f/6Av/3V3z2ply/u4sfqUN1HoATmAJ7Pp3l2SJmZ/wEVvTr8
clEdHh7r6NXMh+vg5d/f9fN8mQ3+8Ph1/TpiZ5bB/PxhocQeqpfDzBfc8k1G5l8v32+ygX7obHeH
ajxkr0sGluPxpv/0keP0cE9B4rtX2tYtZtef/RXHhzRtf/nfh7T4z1/2hzpK41dXiNHUZxz92d+y
P1QZS9Pk9UV6nhN++tg8p+qbAxPP9/MnfXJI6ujw0D8+Fi8He3pLZ8XXyxf++jN+eniIxu+/Qxz/
b3jazx9iTv/lROczN6FU/w0386J9aO+jx6oaXx2cqDHj5Qt//bJctJk8fHw5ztNZY3b6G8766iAP
dJMOrxbqpos5/+WX/fWTvo6TJH6VCWbp5PP+/IFvDmmsfjk7PLQvx3oatp6n0J99cW4b4jW+N7QQ
yDUXDX/2+O8e6+aXxWMGeuflYE9nPy9TX77w16/56YHBnAGreU2x/LzG+tlz3xI6A6/i5TTn8/6y
kv/pY+ev3sr5uML8G4ZyZuVDesh+wQL7y1l8n3/k7h7VM/aofv05yBr+O576f1Rt9vvTE11HA+ns
y2/+iRv9h4l7vy8f/qG5++YPOag/efDV4YFV0tPtgD9V/bI7dI8qfrki8zPFNdJdy/0bhqB/Qrj6
yU/yx1bWnz34P2m6/OThV48q+vaify5N/OybvPryvtFe/Oa+zr/ib5gP/6mj/SevDrnMh6aJ6994
5nGCeSa7qZeP9ddf4Kd5BkE+L8LLwZ6e/c+/4W8YIo6ZCn73+H/DfuTmkVE0/HaN/2uZ82efox81
LPzkvf7+ePTLP5gvfvdJdlkz6sKjA2obDm5zY+YR/PHn/d5+80t59re70Jey6/f+2+st9vwT9+rx
UP3X/wUAAP//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5AB0-4737-9091-259C52DD303B}">
          <cx:spPr>
            <a:noFill/>
            <a:ln w="12700">
              <a:solidFill>
                <a:schemeClr val="bg1">
                  <a:lumMod val="50000"/>
                </a:schemeClr>
              </a:solidFill>
            </a:ln>
          </cx:spPr>
          <cx:dataId val="0"/>
          <cx:layoutPr>
            <cx:geography cultureLanguage="en-US" cultureRegion="IN" attribution="Powered by Bing">
              <cx:geoCache provider="{E9337A44-BEBE-4D9F-B70C-5C5E7DAFC167}">
                <cx:binary>1H1bc902su5fcfn50CHuwNRkVx2uxUVJlh3fEsd5YSm2TIJ3AgRvv373cpIpCSNZMzhTp/b2Sypa
Ws1mN77uRuND6++f1799bm5vzLO1bTr7t8/rj8/LaRr+9sMP9nN5297YF63+bHrbf51efO7bH/qv
X/Xn2x++mJtFd8UPOEb0h8/ljZlu1+f/9XeQVtz21/3nm0n33Vt3a7Z3t9Y1k/3OZw9+9OzmS6u7
o7aT0Z8n9OPzzFU35mZ6/uy2m/S0fdiG2x+f3/ul589+8EX902OfNaDZ5L7AdzF+wRXmSFAcf/uH
nj9r+q7482OBXjAlYo4QU9/+8b8e/fqmha//C/p80+bmyxdzay28z7f/3vniPeXh51fPn33uXTed
bVaA+X58ftl90TfPn2nbH/744NCfNb98/e1Vf7hv7f/6u/cDeHnvJ3cc4lvqqY/+yR/H26bUf5nk
P+AN+YJTQlTM+YPeEC/AEVRIhh70xpPaPOyLP7/meeJ4/b/KEy9vTHcz3dSwUv5T2ED0hUAxxfQR
bPAXiAuFGDjs2z/y16P/wMa/pNHDHrnzVc8rL//v/yqvvLqBqHhjy8n8J/2iXlCGY0mYehAl4JdY
KoLpH25R7L5f/kWdHvbMvS97vnl18b/KNx9uWt08e33zxf1ln//3AIbQixhxFMdS3s8j8gWNRYxj
Jv562B8g+deUeNgXd7/rueIDJIf/wWnkYdXuxq17v/Hv53TCsBSx+jMwqfu+UC8IJxTFiv0BH3zf
JX/m28e1edgbf37tnuL/s5P3h9vmpituuv9kaBIvZBxzppC3/tWLOFaSKvZnUIKP/zDwnzD4V1R5
2O533sIHQfb/FwSP11n/qECPkKLTb6XrnVLr+59+e2uop72v3svy9xbdX5a9/PLjc4QgKf+jID6L
uGf2e0v9H79/e2OnH58r8YIiJAhjhHLI8xxQtNyeP+HyBVJQgskYEpDEMUHPn3W9mcofnxPxIhYC
/M9jrggkKPr8me3d+SP+QvCYEiUFFhRxpfA/tgpv+mYr+u4fdvjz/591rn3T626yPz4HOcMfv3VW
M8KICioYO+e24fPNO9iFwC+h/2PzNe9rrfhFiY6K/WRnqKf/8f7/htzz8+7IVVjP3DarSCdWNmWy
79v2scR8/aMI/6MG/zfEg1fuiq9EVG/L2om0NKMx7xa+x8WHYt37r99XH7YjD5oFQtpd+arda+nq
nKcKM7u/HVCr4qQkFUNJTOMWJ5SMU376/sMe8wG4/+7DLPi+WoqOp6slkiQyJoVJ+o3L374vH1Lj
gy8T35cv1BgPldp46tBAXyG00Pb9Elcxv97k1K1ZJHZuknYbh3fff+AjLyRhpd99oUHGwyzOD5wb
JdarvnS5O1DrSp1+/wFnQQ+s2nNxcPcBUu9LPDnC0qW2YrniG8nxYagtLq9ZXVb4FXK1qw+jHbtN
JHFD0XiKu3I2F99/Pjqb7iEFzqa+s7wH0dqa2Y2lrijm8SCxzARBX4eajEudjMUyt4nbRHTdLwWq
U4f7XnZJVEjcwjYpAGDyvHLvaNAUWzs3bAETSMwOxPRfBVv0E+/3mAO9qNADUhe5TSzdNit+jfut
T/LZVT+Fqe7FhkZWmltiWFoTrW9jaJNcd5Gu3SFMvBcb+mhhw1gyljaTmH9By0iTNd9FWOSRXmQw
zVINAx5ZOvXRvqfxGs3myIe+F4Hqe9EArwWSW1NBNOipqw4b5ytNxhGgdAyzjxcOcLVFXW+HKOv6
TfA3VsN265d2mqInYucji0d46LcydvGyMpntPWrTraCRSVZdW/OEgc6L8AHsCQ/8qq9p4/CWZ30k
9/a0GDTMabNsSB9HXVIV+BgP4oT2uVyGSGTT5PB00fG+i9O9Q82aDnpa1jCoCQ/HYz+POVlbmQ24
3j/UZit/6gRXH77v68ds5QF5qVeJFig7MhytOm2sEeS6oFs/fqyZrNcnTPWYx88/vxOLSlkMtRSD
zExDt8uo3eOfVIFMk3z/JR4TT+6L73O9xWAcnjkx4jWJq5V+4ns/pGHiPUS7WfRCQgctmxvwwNQU
bUpdJIZA7T08O026rdkqmVE71+CDTa5RYuNN74EP8PBcq4iNagXrK9SO3eWAWLekphL78ibIQOfC
9a57Bd6IRdHKM2VL/YuQ1r5ZdTFuT+h/XukP4Jl7eG7VvLDKFSJrGzvm70Tbju4XMu4qvpqiUom3
UOsSfhn2Lh6qxWagWwpdhWwgdNIX005WlZR1u8RheOYenle9jXzCRmS1LQZ6aVs8y6Ry1DyVm89m
echcHqS3oiridoH1NObbYI5VQYR400b7zK+KKW/rdC3w1v3atJL85rpi6Z6w3GM1D/dQ3qxFLvp9
gbjbyGa4KiObC6jsawVlnZyWik5JN1X7fNAlH9pTve6FOHK6kP79HE/cBRrYiwZbziMh6yjPWhG5
I9GLyKRoyBOLEZ1h+ZB58f3FzuZp1SMeVUbi3fTpjvJ5Slm+783FoIjYfips238dIrq0F3SXHXu9
EoK7V1hIWf0qa8zYE6o8Eva4FzhkV7GhXzTNBpFbcuC7uh3WdRnDgjb3wkZjCEfbWonMRMOSFROi
TVIQWXwJAhrzgoZDhsuqKmhWDKv8xCCVvrZx1IbFbObFjJEUXRVFQmWsgZ3MwSHZ7onTZrNPrLJH
UHZuM96NeVaPG8Orkdm0LTm+lNSY+Pd1QIC4Epdxn3TaDW2Cdz4Un4d2tzjMLcyLH2TpGlhEhmdc
5q1LhhHbNtkcjQLTBfPix073enTciNSNDKV8m4vjzvvoGOZ2L0jwXMVdNa57Zl0xZXsnqoSboXoi
Bj0CCeZhHxrFZbRCasgqrNsDnlB1zLceBy4qD/qw6+kl0v2eYdg3JnGJPnYFfapqfUx1D82IDx1d
m2LPCrFNr9zWxVALjCWqAteNB+eyctNAzLZnUd6qSzyv9TEnkmZBbqUemskws2GqQfqUY3pYiLCJ
bZEO0516aJYd3uUswK3RhMtDTdyc8FrQsDhKPShXcWTiJbd7NiLdnKzqisPM6H76vmXOsHkgX1AP
r13Oyn1H0ZItEbuFbWc9n+hUD102LYIHvoEHWTKLuavqfMkIAPedmvoqRbSvw7bj1IPs1EEptOx8
yXrK+KVUzB2rrQsMN9SDLJraJpd75bLCNvSlblrxalibQNU9xEKizusakSkb+ypHB8OwPYhyrcvj
9537CGipB1qWF7aOdmjzDJ1er+qpmK5dnjeBoPIgC/3RaEaumk7GFYt9T5ZYNj8xI3kZtm6Ih9oa
6XksZrxCSej2Qz2wT5vauicW/iO2IR5oWRXVVMp8TsemRAmxDiejUi5QdQ+0ZKgozis5g+WjTwZD
fdepNQ9zK/EwWw+7iSLL/1Sd4hEnbOahqvtoZTJ3skRzqhZoGuOzdBtumLM77uy163ge8saC9LVS
5cHJ2iWc4yrQ7B5aS8pkD6euIJ3i21HT5lToIrCzRTy01kCWkroA4Wp3bdYIZWDnxdew2uB8iHLX
MOtERN5s9ZyyKV+SFc04QUM+haUo4mG1LQfc9SR2aTfvXbKU+tZVOwqzOvZwanczDX25uLStS5pw
yj5Fs8WBwj2cxjkzZCujKRVj3B3tqm+s222gcA+mo1VrBZWwSyuuyoRXukmcwSJQuodTQaqo0JEC
1ZVDrywcj7zJRdGEHVFhD6ero7ijIDnbEVD1kr2TnB2jKZI2bM1gD6p4XFXrhmLONtp2JonIwLJh
wdPnoOSEPawinWPTry1k1tw2V6qy6GjrakvDpOP7cHImH0ixMZdNivyGKvzWUvI2TLSPVLtV7bZF
U6bL6DWEx08bFoG9QuzhVGndCtSJKauWUh5dyT70dd6HORR5OO1qGxklncsiPelDU4lrgcc4bLGf
D/zvxi84Fl4Gu8oo7Zr1i97QR8zal0EGRx5KpV6KCPL1loFYOyU7tiVPNkuKsNCLPJzOBXNlTc2U
AYEq/pVOEAcSq3cUVmkgD6hubHDc5L3L2t7sx34Vv5d6yAPN7oE0l3oUszYuY5vZDm07gOr1Uyev
ZyEPbA7O5IG7PlUdp3qI2imD0371StoCvWqifPgY5lYPonjCkwGiLyzHMi8T0i6/CqkDXephdKe9
qvKydplhM0mQXD81o3wTpreHUbrQddEEZEeV/UDd9opR+ypIdOwhtF/yvJhIMaVxHkWHqMqv9R4H
9gdiD6EIDYPYIxylPFY/tZv4JM3WhIWW2INoVEKdbnqwSVN2b/uiP+VtGRbJYw+ddFg2skIDP+33
+cIs+CVlYRk09oA5bGzi/QB7O94W17Jfs87kYcessQdL3Uxr6RwoPbQ/77M7VOKXsBXiQbJRlRn2
GpxIy/p3s6q3cudhcSr28OjGuV63hU/ZZiv0Yd8mnFWO2GOY4h4iSZevXaXVlNkIqAS4qy9Urn4N
k+0hsm60ZUBdjlKmobqNYn5DFQlLbMBXux8EYWGPYxNDSi41XxNmaXRUSsxBwKHKA6W0s5gom6N0
5O9Nf5TQxQ6xCVUeIsuiHOlYblPmJJA5FmKHBI38Q5hwD5MLnHdtW5fbFJXDxdLA2f5IqilopQBH
8L7BjXNxHTUgXDbsDXHDZ003E2gVD5eKsi0epbKpackbBrJXN4fK9qCJFi0IWRG0jTGJr50sqquR
rjzQKh46S0vnBupZWChs58keVz83vAwqsKjysLkqR5daAfJXsk3VIaY5748YKiAdFFqo8gA6LC3N
4axmygo63ETL/BEOH34OWoo+WWsmJDacgF2cK9hxdLVOiMQiqI6AhpC3FstZQD96BcXX9Y3r46t1
HgMRKj2EVq2IqSiJzWRNXjVAOEylEDjM4j6/yhUGOJdunrJ4aN7SqDlUpgwqUqj08cmibitIazOM
GT4sLTIHRKuvYe70ALrBiYKV7WSBzcA/FXa90oK9DxPt4XM1U15LHJlsQ82SNL0YT11bhdEwqE+s
6tnSqRm4QhkcIe3Hbu9fC2Kf4hic3/6fC3EqPYC6Adu6RIvJeuDaNIl1JnoZzfH2LswyHjyXiEBU
pA48Om9fLFRwq5W/B4n22VQTJJ5y4L3Nal68W4fhMm7bsHXoE6nmXNa8aqjJ9nks03kp8DFqus9h
envg1DvNrVlrm6lyONR0e93Kp8rOM04ecKZPmVoi6AfPgzBZ2c7MJUbw6tXIhzVZKuy2Q5j+HkhZ
3a1d3TOTNZr81pT0YzTUH8JEexBdgfHYcJEbwP9sL2ZrUIJmGnZUR4WH0gKXTBuCQXGKPrZz1CU0
Gn4J09zPoes41CYubcawpku6E7fRpJNNWR/DHuDhlJZFIZ1sYEmu0Vvd4g96DNuLU+FhtNFshA0z
iM439XaK9U854UHHUNQnSDVyy9tx3kxG8hZnkcTTW1QsOojpS31+FBZzzGYNKzGP9y3ZzJgRGshO
o9yDabvm0bTa0mTdPMRJPIvTuBRh3WG49XA/+U+GOkcVmBzC48t5wy8btoZhiHvwVEvRuGosTCby
okvEvr1URoedm1Gf6aRglcQrrk2G+vkNQeO1iadAvT10Gg2nE3yJxsxy+VEj87apx6BNHOUeOPOV
tnUxVCbjYJlEAQk9GbdWhsVDn400kWqMql6NcG5TjgeD67cuUj8Hod6nIsUx7LM6Fo9ZoUlbJQs0
KlIXRzzMMD4VqaoUsNKqDXCjtvYgHefvGh3vYR71qUhzxXgOXLsx25XBB2Tpa8ikYafn1KchuaiT
PVt7WC69onENsXarbZlINddBPRw44b+PUeACx6pYO7B9US7i0EHzLMtzOoadI1CfbrTVzknT5kMm
I1uPh3kZ2q9OiSVw08joff1Ri2O6qGjITLnZY1vwKgELsVPQyvQJR0Ksq4zneMhcw/Eh5kBiJ7D7
TcKke4idGmDgWdINmaWimBK04/qm3tauCJTvZdNVG26WFWzTl1Wf6Kn9eW1QWM5jfjrF/dJGwoHd
OzlcbDa2p6Xpy4sgy/h8o5nMZBuaZciqnO0f4z4vLmCMwVCHGcYnHBGIkwxv4FbV5aM9CScJTVje
8zHwAV5ahcO4uu+GGSxP7HJpjPy5HJuw3jz1KUeibjFwjM2QCTq914V9u9TT+zC7e2m1yLeFNE0x
ZqJTv3X9gpKS0qe4tWdIPlC3+0SjEVrmMnLtkBFTyd8EHCpcuLqdA5eMl1mnOFq3nbA+A6SqhAP1
JYm2SKRhhvGgarYIzugbkM7mzSUMDVd19xSL6VsJ+pBhPJyOegV6ncR9NvO6yBM4La4g2Ai91oei
VUV90Q7b8t61trkklkQ8m8pyZB/gipsY30D/z5r3SrT8ooZzyf6iqjvKE9FoaMYX6yjjJdlpNZqf
lxFH7hBvY1ff9GUZjQcOhSU+Iga99lQMbnXHBkGX7MDhlHq9dGMkqwyLtaSXeV8t2wHF0E34NQJm
73ZCpLLiSMQKMpdGT/upGFVp4bYd3t2pxXjdj3ZuSffbKijN30yUR9XvFrFxzOSO1ZyZFd73OEw7
S6t4ZvLQCYzqA99E4S4K1BfqmssO7oXF447fY6mWZMbcXA7amj2LeyW309I2Mz3OhhYsncVCoYXd
lDM9FM3Q9lDPKrUdpNFEJG2vDXq5dHmlLhuCJprtYO3lwEg9X+571L423RzTI43neU+q3OT7+wZV
vQirQqgXMNuVOl470meclT10faIEF0SFxRuf6UVovkEh2QxZydvbnNbvc6HD9PZ5XjOcxKwNBr2Z
yzOrmqucobDmIPGiJJuBmYKgg5RhpdYkj1SdqAb1gTbxKhsTF4TXcGiXFbiqkrUev/LKhBV9xIuT
FVxvnTsR95nb3PAaboPpi55MbVgoI15NU3Iduw5zmxWmptcU6ldg/rvpU1AoI16gNG0xz/Mw91kt
C/eLkeMOzfxOToFm9yLl2OkJromoPlPQVE4Yrq7LvQi7aUZ9klcMEGZUDn229UPeHvt4qbJ1jHXg
LseneaFOoz0isCJ50bI1xbZzeyIiVo/HIOP7VK+pHZc8Kqc+g4Oqr8tAr1hkw250UCzvl8KDW8w8
bqLPylgBj2yyYm0ORFX4a5juHlxnNu5kdnjImlHtMhH9SOCMXWIcxsWg2EPsMnQNitcCCgQYkJY4
sVSp1jqwQPD5XoNY8movIIXDGY05AKOMH4ZoibMw43iYXWK4Ks1018Ot2qa54mRmU8JHw8P4/dRn
e9mqK4DI1EMY7py4KjsS/wZ72i2sFYw90Iq1HffWQr0Kraz1Mqe5y0Q8icBF79U3mDRO6XN2qnRb
HOwyFomb2jYs4PiUL2TQ6lbYJ2fR1pHbEtjmt3vr2jDmJ/VJXwyTriqresgYF3N0WasOHeJ8WdgT
Z4eP3KujPvEL7rbmOW9kl+0NIubDUOu5P+Siw8NxsX30AS6cvY4i1VRHqOJqdSgUbEZPZcRYH+Z9
nx8Gl4J57CqoP5dtLOUhaisYQNGW3dCEbaN9ghiPyQ57lnNkyieUv2x1AffOtnGb4rDulE8R22Nn
4Hot7jJCkK6TdakWmlQ1nQMLLOTBm9u9NR2GB2wOA215dx+Bvf85KHT4LLFmardJub3LBtPZw1qQ
r/vEQhX3kF2MO7K2Fm0Gte2pwfUVxjasBfDtCuUdKnobRXGxwASRbKKzPdQRhaOGZX8XZhSvXJ7K
xhRombssd0amrsRF0jIdmCp9ntgiYFJkBx7NtFmj39tqIZ9NBOkmSHefKGYr2vW0Q20GtdZrMe8v
m7F4YpbLeb09sFX0eWLFCueM3PRdZldcXqHGyASmXi5hScynii0113KuSZuRWvZFUkk5XpXCdWUY
TH3CGFVrT3gXt5lgXXUYlbyoKdrC8oBPGTNDVxS50l2maLlcW9PSg5iq+e33fXqu7B8yvFc1q6Xe
5gVBfm92OkLJH9tCpU2M+j7lsKvrwmosn0MmN55LToo+ix2ZhqRkU3WGVqz6sFwce7m4jbQdZ6Vh
bTL83k3xuwLlgcvegyxMsphkbEB36K6xozbQyt8d6oLcC5Po7le3HSzGqAZWYIqEyd/NWzS870oW
dpsJpmrdl97oDrkY2+Ycg+XboSUsmzSTQUYnPpdsgO5CnLddA4fh0JXoR/k2ooUONIxXNbtt6ja3
6QYYAjDC6QCXD8dPe6P6OVC+t9eFgTR5PkymyXYjfofe0atWlB+/D6qHoxk5Tze7y4+mcwyn1XBD
EC6t9nmVjNbNtwsZw0ZvEOVhVsP2rSvzs9kHmUPD0crLljMXtNwJzF+7p3yPK7fuBpTPixLaTggP
CYxUCctQxKeUKb6LjVnov6FlQtux08BHOFRdV81BzReYenFffTkv+QCVbZOhkm9HWcTxmx7u870L
8qzPKtu4hg7XMkbHAhVrf1XFKH6N8cDcE9p/67T8czwmPrEMxh7jlXMHS4c71v40ItS5C13PoznB
RszhE8zS4/Y4smbtr6MNdgXXg6jG9hNGhJ4cx/uloNHGErXnDqYrbFFd/9R2bMWHdhw3fdiLMt9/
7/NNu1M3QM49OFatn0lL6ct5qKarTZfzieRuAREwA6NM4lbT/UOJ4H7L2/o8p+JDp+Vgj7Bhozt8
apZDGQPz83U1lNF+hN+2+hXBeT8HFZLEJ8QBr3HE5wvJaZGj6vWsanWNNS7CEizxKXF9VLMeuqN1
htf4luPxrULFm7Dl4sUY2GtubcSXOiM78GwbTC9xb58apHEOhA8tFS/KOBe1xW7XOhsHmNVxaeze
LEe1AevhuMAOobjkijdlUHcN5vXdhxUaFeN0ZnUWDRFPab00p31oip/D7OTFnHLLHewRSZ3NPS2P
Ub5/nCr8lJ3Oxn7ITl5pgOJCu9q4OuON0++BVU1/kmWx3qwVip7obD72CC/oxLkSBR7GOrUrqfmx
nEYz6mQ20Gy/1AvcaHtiU/2Iy33WHNATCjfzpkhhMH1dnxxbEbDDoibV7S7xARjdYV0l4pPoihJ6
J7lpwGgdjoDoxj9CIApMYMLruEUwcAQaAV2dITiOm8hymgh6IkA/4gmfRCcIcDl3uIN7rItRTJeq
sezUSwXn/ryYmziIXUDE+el3togMZHOtRQRjOmCQINx1L35Vowi72kqEB2y7qVHrzVSZEGw6Aeda
JnmJwjYrxCfSzRpakcShMtNU0tMwb+1RKh20jyPCA3LMB9Q0osmPaNZXcU4S2vNAm3sw3kjc2H4C
0ftO01yNp1bjoP0h8Tl0G0xd01bV+bHW+KVg0cuRh3XxiM+hA1rheRCuzo9DtYxXlbVTFjHyPihs
+hS6nIly3kgEix0VNh0GQ5NNNfQUJt1Daaxqk7M40pnQdngJrNePY7GFDYclPoeu4KKIZux01my4
OTk1dRfx2IRRUYlPo4u2Fc5TWqMzXVXjcSjldSSMTcPs4sFzreLRWdKr49RSvZ4wXn4eTF2HNRVh
BPn92FL2ahob2qljN4+v66bPKtOHJXGfSreV61q0BRRSzeR00rkuPuwNeyLynl//gTTrM+lmYOfv
cMMPQGTnPgHW2GHgMFE4zOZegt1hSI+dp0HDraV2O3TF0I9JbjoVRkiDgdT3ja7aDe5c1EzBRat+
x4lscvOyX2sddg+S+Gw6x7u8EyNRx3bZ4cz2LbAAnrDMt1btA3b3uXSU7wiGUxVlhraIzC9j3TK4
YFTA4NAPMCmpzzRTO0nEOLcs5dBdWw7jVLMZxnEOfDuNTsVjug+owDetYHjOckm0COrAE5+Ft0Yj
grkb03m7ZKbiUpNYurS0te2OQevCp+F1Wk9colIcV1NyCFBb5bpDyTgiYXsPn4dnptrtcz641PXl
kLaSLsdB0aBOM/FpeFCyMTKQ1qXoPPdrYSPc1KYiiF8Nf+ng/pIexExtPoHw2cHs5sbSMekbHMbx
I8zLxrR0cBvedS7FFRoOpEZVAh2J38O86qG9ryX89QCST+mMyzaRUQQXuFYah+U1n4RXANc0phGZ
0h6YNUlfm+J1I8j0S5DuPgePLsNAEB+nNFJw6kHrvUj1xsIM48/80mZBPRzETinMqMRvunatf+fx
LsLKIJ+At7NyGSc327TreHOAydUwEYbmYVNPCPVq5kZNZCeS2VSL1ZxYPsF88agOO2MnPgmPLJjs
TT3ZlCxtCYyr6QNcr16fiLGPpDZ/2JdbRhiZJTabbgLtSR3X5iDqwFqFejhlteMRGcHqewvjWpZp
+xqbMuwuIfw1k/tBINqHdswb4tICbs8c1VKWB4jHYYf3xOd+7XANItczFFZiwL/blrxvSxx2vRr+
dtR9zcsWWsr9QF2qYxMn64DzNM+BRvd9lD6yTfTZXw2qR1z3RJ543rD5Tela3Z42jhtzomaALPj9
xzyycHwmWD6TnKIKXgL+Dk10nDErDt3qwphgxJ/3NZS5mCYO0oui00cJNLCD6rcvYap7cK0rCAfA
ZzTpsA7bQbdjdbRtHpb4fCaYGmg8tYyZdK7dfGpLiRMYYLyHZT6fCba1sN3YzWLSqdybE7L1zzuq
WKBLPbjuZUv3Hno96SBLcWibtToAJTWM9g+n+vdXfSc2MQmZD2nURuZQ7UOXkGELm9wEN6DvS88p
bQyq+JDqaSwPO2ubg4Qx+WG1mM8Bc2iDlrMp5Kmquv3DHg/rL1XcPTW3/hEo+SywnCwLckBWTplB
cB/lXHAMGD3VI3xMurfXhb9wA+3qTakTjaB1Pkef+6b7EAQkn/1VI4xy+PsZ4gRzvvImmXdgJ07l
an8NE+/hFDU96ffYqBMb2g4IuNXKy2uOmk6GYdUf9zVY6aCKH9RJWZRUCl81cWAl5pO/YBDXOG0Y
RLcU0t+ZD9GFERKJz/yCPwah81KM6rSfRx/VC6IHWsolrCDAHkyruCmnfevpEaZwXXRmeBPzsGmC
xKd9xQxIRaRt6ZED/aHqomva6bdBS+WfKF8wRqg0pKP/zdmXLUluY1n+Spmem9Xggq2tVQ8k3cM9
9oyMiFxeaLmEwJ0gABIEv36Oq2tmSmklqU0mvWRGBp3OBbj33LOUCVuG+CrTPXTXtR+Wl792/B+G
zaOO57ZfJn7MpniDhXpms+uLVO/P/AQvL+O/6XR/5HM1Uacz4St2HHRkT65a1+HecqLUATpVXp3V
sPv6zu3V/6K5/rVV/XcfeoHi/wXq5SGpxrWde7Stmx+3Iu6bPtGHrsNb1x/rauv6fJ4GxNXkYzpj
b9/aYEZ+nnrN6uGIxrrthrzfuzWc6ypE1Zc09aDdjQSU1i5P27B7n6PI0fNtx2Kh71Zb+Zidtyjj
c5ebvVdRk5NUNqnKjeMahdDEcOtyKudJfdGmHpY4zzreDOd072D3XAY09FyVYV69KbqQttt7WMj5
tclph4gf2HyHZrNjHsslYlkuA6zhu1OsOwbr+wGYpRty6Ar6BSdo+TS+6GRAI9PyVvwy6AF/bZY5
W0sGum+aL7hCXbGuPmmu9rBsSF3qSGrHLxNAW77km4lJ7HMqmKo/jU3WyW+DWhD0AyHnPpkhh9tX
Gz5eSHonvQ9hy0eYRtnC+8bGXckhnKwOO0Y2ySFKqs0WlcCTJouV+UCHMll3Sm5isTJ5bOiyD9CF
zVM4ISVgLDjTK7trydKIkjSpT4uasxlVmBhEKQYY4ObbrNg8gr/ZTrUqnUS/zwsgJJuacGbzaHgu
EsahG1mbqyrjKBuxlrBhucbdmuomNwKVXS7jqB/KZRiTz7MbWOnDvvFvS7OH9KjNRLv73SSCvdZz
wvl96qo0vd2rWiyq7HdoVLKj9EsMR4Sd8aW/g0JD4H7pptE4OUV2qZYjgasxqrGBTHt3Cizd/NdZ
DM2kimkFGHzmUCDJ53jjmw1FP2ZIElMiuthA9ks/+ggqlh2kLTjo8GVdDgH3cprOCQWQlpxZN4o6
71gnj6yrx2Jimx8M0JQQ2fVSWa72hiy2O3iDNeqeTWppn7ctUaPA4zAly7FNqd2KSdVZApfYOvQl
+ppafBIuHacbue1o/GpKls3kXjuA+bkUlCeooJxL07SQyJBt38WdMOwIg5VuuxkTHwPVJg7eajvG
zG5V0G6RYJkDk5PBZI30y9ekj6CZMSvP9HtOh1iUdWVp+xW9j+jx0gzZtJa2pZO97xai2DPoWfNw
bAOHTEhOZKLXO42S7jaufbd/b8Z+WqCYMdGU3c94aevDqOuQnPUQt/OHOhoESbC8dYrRnA+Z1PfE
uS7+mrVVJUJeKTmoK+/XlV4T02TTx9azQAt43hOo0ZVPYwlrZ8r6b5XzqlN5N3fiK03ZrD9AXb7X
BaZL2Lug85jCHVh9VuCXpyj7NrVm3c9DokN47nYSx4Wu8SZ9azM85ifVJfu9k0QdSTKL9kGYhbMD
EY2un+au3vZHD4FHEmESDd8AUV6ciNnZejeOv3SY3NQ3LZvTcDVNbV9dzYmMzc0yS54UbZZmySfB
ECb7PfZddQ8JeXSNMdL+DdKWIW89VaWCQVBUbs0u/DUyJNb9BPOg9GMvm0yWuofS8R0PdT/ex6pq
4rOfmiUcorlut5MMhrArzraOfCCs6qqnepZKFzq4CJ6ILZEWIpqBIchv3S01d5bsjpxTzXT/guCO
anpYkNBdH0ndTbx0W7ti7fRUmPoI/nRs7ma5sm89PAHGogJk6B/qjRgsJfW0+QOjkzOqJJhWrTdd
C4PjY6UWDXlNxFf1XAsrs/OgtWa5qyLDvta1bHWhRtu5NhdjXBEEHWXpdrb9YF3pfEKi0tkxifOx
373+lDqJMygpUTHsDDecRRMpa/J2i+x4GC+WPDkM7fbufvYQph2oNv5zQoJniFdTiIosEAXB7lAu
qbcKrzAv2r5OhoINnk4fwox8RhgcDQMsz/K02/fm7B1Uss8B+XSmyuvZ8Q3r/a79NOWtwzbtcyDe
q/3mlzWlr4jgMNgQOrjVyKceR7ncSO0Wc0CIIyadh9EnA82h/RzpVS9j2R3WVaV9yFXsxH7jN6uA
WmyIsZInUgXUiFCy1fXZImUtynfTNNF7RjuTlHXGlqi0ZI1lycO+t6+G7Gl7Wt3u5dUyTFFVzj6p
wm2KsJxHEtu2eQ/kKAld3vS9k0e4xit3LTt0MPcBkJg4Zl2D/c5VFZ3B887q7XZQpO2KaTexKzJt
eATdgrFV46Ge22385Eg3QIwxZs49NhvhyWnCyLi9n+B018z5GjIE6MBXPJ+9kfE5TqV1D9TO0fgl
aTbR37I+tXjGxnro6+9pL3Y8CQMs2+xhUqJZj/hmW3ugQ5fZF9atdXVtVdOmZ4hoWX+3mAQBXwcs
Rz0rkcuUVm87rJLhaW7rlp7s1CgFbjMUWHhGBHyUruvWBX3S7ZCCM5yAQ0wOViP1MF9dGJP3+Ezx
usa12z73MI2HJl0m9ZQVM+wXVRFhfaqKrdLb+zZhLj0JqaF1oeMIsuqwGhEVQS8OkXJm8hsEJCuP
CwwURP2I06X0YfNBNadoTDJMjpqqi5bnYdin8RrU3XpHVTTu2zfsGnbs4JFKSPzuMqlJSZHWM9/v
diKzwWIl3kN1Fi1uPYxmGdLNbj0W5PkB6RfWnImrpTttjkl62bm3Gp4ACpfR2txJvOUEfnVqX1Qx
Nz6Ed6ncepkjNU2wI88GrG95l/rWPBAXi/nLbqzO2rx360bPIUvJdp/h6a8/tnZDBA2+ZDpVDx3g
MP8kOlzE6z1pzVaO6ULdCft/pBUubjKsB79z7hWKJzftuJlGrcfVd9HwwuPghscV12y9nlvQQh/a
tambImvryX7cNE/opyHhQQw5HMLIqHGl0l59H+GZSh7hWp/JLxOcV7rPcz93CforGCKmxdAmLT8N
3NmA+q0mgk35HC0BW2G/YftAtQfLWBbRlZcWJg1TAEePR1/hKh+ygmBTb8/7MnfPfMHzfeiI71nR
bDsw14GP2QeagBdRpEFUbYFeNONIRJz4cpX0nLI1TzcyzPe6nmtIjmPYdx61bPvpLh20j/qcQYH1
pZ1mtx1p3GTrQzwSA/9dzFnlcyZGXx/XHkk5j3NSpx+FRcpLabMKUIBoIsfuw6grfiSm9ckD5k/p
+NR33O43cTvOExbMDO8GaPEgqomrDiaq5q4aeqm3QmSZegxgvkTFxpphfbK7nyGIhu418QVsDKuu
QBJ9ox86C4wprwfVz4c0QFfbHyFRiw+iSsexNKRKcCeauo/vskVfklyZvRQ/AtTKWhVSrDQph2Um
8ZJ3+xY+tKKHa1K+D1AtPmuI29JXZdl0a8YFFVdRqzYq4haucKHA6r7m3LPUfUgW2B6cFPMa+z3f
CMr0FAJe7fKQZpE7NzgF8m6ZRseLhLK57EK9jFfdhlf9EyXGr8eEd32MZBIDy7M4a1JRpj3owblN
4/0osRl5lxtatfZ+AXVKjsXABt7fdrYKDyJcAlB3s6c3VoiOHAQSbDZsoyg5SrNnWPZ9v0bq3LGR
uuelr+L1aTRLXGBGMiefQ1/5tah8nZ1QriE1s4OKZgLSnputrU+10zDWyKCrxmabFvvupM4nhCGx
0hmSnBTqgQ9+4OmNgpXSkDPZzrao44QpeLbqJJ+mrGXXwqvwPYP6p71L8OoMV3trd3k3R4l5JB4W
r2iBUnermEh21E5xZh7XSIO26zZeMMjI7zDPgVgb4aUp3MghQ74LRiQvk4/UoUta1uXDsLmbtevl
g/Jw0C87PMYF3RZfJHXVnLIsk7cLU+FaxVv/Oai1fS/T3hQNYe96aoYX2spR5opoC9rJ0nfdnG+k
kd7mCtVuOAZE1YUTWxP1yuJNX7s2CFnicWbFsC/7dhxNS68D6IvZi48Ef696D9ZCmbiRR6dq4Kvv
8wpProBMPtTke+Oq4F4oZSzkazNsAlTOePWhbC5+AOc+bDtsU4SJg0ay7jzbBH1Mk05tqdgaR9dr
nEGNDVmpJ9emjit5b6PNuuMKnT953VmfsEKGbHU3S6ap+ozKdZgP1CVRctKNbrLbdlt7hL2qce1z
H2sjXtOl1+RhTpdUH2DTEEZYElhWn6dolf2nqEaWcFvQ0NCmJLatXb7QBqWodAtvCtOjRvF5lUZp
2ueBhqX5tgmazrfrNq37V4RSeZRDtRMUT3ePd4vqvIVgqD3ARadKrozom/bdFqP3P0xjlg5Hx7Hu
lOhoFD/PF/rdYeZDkj5AVNPSG/Bn07iM5UblOYZsavulARl7eFisE5oUQaq1vrazTQnLYSgiMB7d
26QP79Aa8wRdMCib+421vcW6UI/cx3d6wCv5vkOz6j91tJPnbMKILLWD559im3bR5wEDVrTJ20SR
uAgQui7wdKBYyqtlxepuzbKV66CM+MCg6XevwmNt/2jtLJO2pHyOsF9VI43W98zv7abyKEl4mjtX
maGQVdon93YXW/glg9y//24aqNkOokVs4VPo603CcIBO5hEZz7TbDuMKd9cr2UTJ9MjwlmFFJKmZ
BZaneuMAC+sRsuZTm5Lan9Ku7shQZrtBCZD3jDEFG/gJ/QcqvnYuwqovtQhiXJx/1zpjlL+SnerM
a2+jaT1ObeTk2Vq5UNyxXXpTzkm/rZ87SaFFYnUn7Wfnu3k9akWGqJDdEt80s6pYMWMQ7m5D22YK
t4Q3EANaoOyF0euMonRmsJN5XXa45EIgPVe3k0rmK19t4mlOk+BQHdB91w+h7/vcIBs0hyhMLSny
xUQ7HYMXNBQKcarLeU8tGrRaLjy3zk+Rzt3ivH3HY8/rX1ZEm4jD3hFSl8xf9tVcWWRMnCqU2bcN
rLnw1KXxkF5XLfJZb7QK0wcpcBHK1Lks7nPSgPLwavu9jVClBhJdbTue6yvUATG/dtgC2i/ep80V
WoBYfppgcc7rgkpFmie90rqGJXQ8sGbJ8ZDRtBBYVQO6uQjCuZ3XcXMvWk/2wuCFf+liOhz6qmEj
XrVquZ4IEIw74BUpfRTjxrprvxr5FUjMR5QeLmGIVGGggE/IiEmexkRVn+Fn0TalGrAoNq3p7pwj
qMx2GIz4c89FXeg9IHAEsg5yarhJ+7vZpba/M9Vibxatp/YLAqLdWzR31pbbEuE2Zht/7ZbsMtzp
BPb2LfOvDLWEK9U+o1YHr8ltee/5cIRYWbK81V6hNsCockXYndiA12IltMB3XHvvoTJBAqO4ID0Q
fpvXDsVYnlAw0M+A0qW9TWcxR48pB4kPpCA+qvW8MqVcj5uyBGKh6K7a5rCRVLT80ArWvFMzsuEP
MdQr8y/bmnRrEdVArj7DqwFpuIYKmx3GOgkJHs0meW8a9CNXYWxtnrRYQHW+LgYpdipZ6m+CDjZ5
Tf1Sr0UYbIxuh2f9uuXtKvroU9PE1VdxKU1OYoPK/CUw/ea63mUod+Uco5gdsm45SWSCiEIyM7xN
FK9sLhDZUSAWhGSHXmbiV/CvS3dchCAO8LesMrQyCFU/bgn3/KNWkYT+uJEVkMFIDnBGshoWBSWK
ksFfUzZN3/p+S2Osc1ndjq9wapNtkZjap6fWZeE7Wme135g+qd6Gut8lRf53WJPbofbZ/BJVhNG3
GJEZ9DtayxrISKvorZxMh7WD1KFIVDz7RyMrrqHrwGwpU0yRxyZiDGg2Sg9yQz0MRY9yNSwpN7eT
9LCy1a55Pyzbe3gix9kHbeT6Looy+0FUPH4B98PtV1MFEdApmtAYb/2wrQeWCRj67u2qP+Cadzdj
3IHWxloEcMPjJJvOUy3lXFA9Dj7XUdV9hFJ3y2cK8ZbWmWc3ZtPRI2d+u2Nyr8VxqmC9cOhp2K5m
xEpcxbon5wyZzFjzxtS+1lLR8KDVBPXwusLvJ6fzUrn3foHF62cYiKA5s8Fn9UdAwynP2RpwHRLf
tlgWZBqnEyoODv2xIO6l3hiKxBRQglKoMloawR6W71FpQIOnByoUcBOPeHXklHCzN1eJJvoV9utt
95SICSLwDQkMTw1OJE+bNdZLgWU7OJ8bYGPpg+5qnhWpxum8TFPlp2M7V21dJBnX/uuF63qexn4Y
bjbO9x6f0UX2qYsz3z+kinsUbKFJj0LoaDqBQsn9O0DR4wHLxDgeDaWtLZN67WPQ5RAMe5g8wSIC
f4xr3AvAEZWmk0a77UFaXkNwTzaq27UY6RL311G0DvsV7Mf27xFFbFLeIxryRu3ThtenErgcnSeH
TmZLMc/OX6dTjIKzbsaboGv6BPbyDIUA/B2Bc8CoIc149THaQSc/Cihkwgtwpm3FRmRJ/N0JoxKO
DJxuBzxg+0WP5xETiuZzvc92KHCnIHgXXY3KHCtmvw5FPVca/uUwL5J3sEgTvJCe6eW8Tdksrjgy
wBGNWq1MNHlEYXt49DK9vIRRuyqFdMUZHRMWn65sdyv92UGUIfNk2lyP1xjzrrcFe2d11sYRVa5w
1CZgYg5JFr9OGSq0cvXS1AXPVgatj2Ohe20YbGpKAr/55mMPQCPLh3Gp6xey7Vg9VBSx+JrxeKDF
IJM+KSegYWsxjSugrRwiqE2VLcSF5CHTsxHvEAjSrHmAC7Q+LKGiUx6SPUMFI3XsvkUGqQo5hdRD
vkOWzcqv6qA9/8bwpfwHiwKV3VIb97zIet4lj73yBKbJGk1B3dhheAoQ8HfHpLVkCDmF2H4FgFmP
u0Kj7gA54KHeUBQio72aEawtbXVXT6TZz3FGtvFOauC0OdOph1+6rs0boWlT3yd7NYKXVJFuPC1i
jZJH6CY5wztl0t1j/jMGfUR+ozdHMN30UGCqQpevox9shIDE3Ylz1ANO+Uj64XKHGBqfMjZStxCj
ogEb7hfgh10BfYWzSw4vlji5ISyhaC6pi8ZTA57F+tUnQdqyYqxyVx7rtS8N1bo79Gkq5jJBIo3r
8tkMoT6iG+zlTZXBfg3ky/4SD4a0tKls60Zu15UjXBTQiShJSzgxELxQTTVgno1R6KSu2bqlO2oW
p7MTQIIJ0/oZtV0OHDbucghG97ac8Rj0x2xb4vmNN7TrI/QOceZS5N3CxOQX3Q099FwdJmQOm+mA
OjErot7IK5boJGznLhapeIVn9OBuPVr7TeOLN1mboQbZ0umB8qbfPkT4NjLK69il03K8uFmjIV3F
vmb3y6WDvqmiqdtQfIEvC4OpUCn1EIbYolkxS8rwgmcdMCteYNZC0a0SO8jxWxPQXYPbF/hA3oxb
oxnFAKdomCYHbeOKtJrJXFs5LeKBYvFQKBVFu3/vakwjPretn7pjprIx8ri6Oh2RxcxM8y5DuY93
OZE8o0eN0mh+q3VGvchdLOHW7Hm2iOcY+FyD+Bfg/+6rNNnSvepomaLHSWHg8269NKpwLAiiTwq+
zvA1hmxOm/5cD5h74SHJdHo0HI0POyBHcZlvoABU1Bc7ZkgTOt3G8IaXhDInbrzGJOkW1bVgtyiL
Mvt+7NvOXHOV+ukcLQhm/5wSUpGCXWq24zIN0ZL3PPHR7UTgTvUuWuzSYI2DDX0hURmPh7AMwtw3
1kHoMlDC1+e9B6WxEMRiyNOk/QiLGaMi900wq6vn1Fss/iPyDdp1v452xHejZIWvYX/2WqUB9RQi
rouYb245hWmU6ckAZfdXfcd28gpUkdLrpsMksNBkAAHgAD0xMaLEs7kD27ogatFxNkmyFCkb2ijH
O3fHtA0ZZo0U9hhHEoNaPR+bKMa8h40Y8YS8R8SayMO8aVqamtPs5LZF7iedbREZYemW+EUC01PI
SpsWGbe3NDbWvlILV/U3rrJluEVh2/BjT+tFvvceo5myV6JVUCeCkPbYjGPPbirVj917L3BhbkIi
OntNFkTq3K041wSJ5mGnj+3CB3W9tUZ2L2j0mmotyIJqeS7bSQyArTN4tDWkWPAy66iA9wcLusQc
kAt57EAHvFgY809wMCQ2LqSEAeZwGDAKsssZBZjBhXW81eYR+/QI4BlkHIzSULvJ8D7FZYe4StK6
218wPam244o3+Sj3nd+iiWbRTRJVEoUdI3CvSy5jPJFckZYxfdW1fKa3ez9BeR0nYXKffLNImFZ0
C6xDjk7pLdR57BnlmHEmIF2R2Yq1YAA27OdhhWX94wTbBZscL1avMTCNjSLcXZhdrm0hB++7Mgzm
kijnLLunpsrGcwYlrz/No17SUq1Bj7eJhU8NIFKCeesUDF+ODUD8OI9sHEdHzChdU/ZCSbSderYa
FVI6NOmXjSNF/qbaVbs9wZIhc8De68rs39ORpuqr7ibSn0kKqeOZAPWd7+AaYNxzD0tq1DYjzbbb
OIts+CXMtNW3IajIAuDbElHsEuVIDnx5wWylsRZkv9lldwsZrC9cQHDo2eAU2nLZk6QrwI1nmJln
2YVeu4qjBLP5vl+RDPxCfKfsnXF7PF5zxN7tl7vNK2gdpAtIhrc8a78C5ovSsqUi0hZmrehnCjvi
aR8OqKw7bJBYSC9tvjfaP8jIrGkRoig2eFnEbCCX0PRyBaUGXIVKwlD5YPnaR7AbaHjzfbnsj9/5
AvsEaMmpOs+TDHFOsN7171NjEod3T9FhdrkWFqpqQEwIiuI1aUiZJjQCvSZVc3Wf1Nz5I5ZReCGu
/disb67d9HY77XygH8y2sAzNy9wu1yHwffsg+KDXh4uHY3qyw1LlA8xu5hzVqLqA5XpbsedigPko
QpD82tZQGtxjUDJA8I7aeAe0NXdArSiCKzPqvkC4OoscwqLEHzamO6B2Zq6fQJOIURGtCGV+asFs
xL6IjA14N8pVVPKVayLBNB8J5lnr1ViZeXJ5A71flk8CPIK0wOzbLG8AkhTAWwA2xH0BWrE3Uc4c
ytc2p1hlHTDEfoLaI4dJPfrO4wZ5KMKBxi1j9ScorMNi8sUjxGa+GlZHm7bwM/zDUYcSttG4NGkN
Kkf5H9Y42PNGVFxhUpW6goARZPNIuLkqYJScvqT47ehm9bXSZ1lfsF+F9nvTlzUzqx6mxJoD0IJ9
Ack6qqLzf1TLRrZgs/4Eo+5tKwlrpyXfQ00fMLAal5JVEH//NQbTj85CLGTjMI22PxD5sc2e2frX
yPU/GgrRPl0xrsFx0+ZJALRo6F+U0PxoJzTBrVFWDedHbJMEIJJcyZ3Fam3/RMP7O4ZVGBn8lukD
KCxxYKRhMhHh/ZvrqXE3g48meCBaowE4JWuLWAAu5+Rxs4Bu0WC1ESmmaMN9+mMK1YVV9O/YRj8Q
yxRGNFsTGX6ckGbalw1ELXcgD84F6jWMHzGLE+c//qTfI1P9wAU1s8WjBk7xEYYAM3/vwlQtpVao
c0uPnQnupLB/6FGVbmH8kyv8OyTLH92JWvDDsJsk9MgEMjkcbGcOM7DmP/lCv3f0H9hnGol+lteS
gjkyfO1M/OqFrv6ELv57x/6BHooyfR60qugxIPYjr004N0uf/sWD/8Awc3Hsxmlh9AgM+oBBapNX
MZDHP77Nv3fmP9BDq21tHJUNOyoSWezpa5XHNXb/v3b0y6f+Czku6XQKdhCuS7IP8OZ1EimT+/T+
jw/+O08oSX97cGbiweutxeNSc5l8t8CUfEFYSJArJJJB53oBG/sEkRPVfymeL/3RpqgWynN4ttAj
4lDph2w29r6NAa/+8Rf6dXH9N2/3jyZFvA0pYCGVHQchayDQcgwewxX89xZix14zVN74mzGLR3bV
6Pa53ZvnGE8aPVW2WWr0Kqo+IJ3x+7amiG7OHUdJ9j9n95/ftv9Sb9Pj/5yH/cd/48/fJo1mX9Xu
hz/+43ka8P9/X37n//2b3/7GP67epvsvw5v98R/95ndw3H9+bvnFffnNHw6oy114t7yZ8PRml979
enyc4eVf/m9/+Le3X4/yHPTbzz99+T40Y4mmxzTf3E///NH5+88/xaBNosC56AD+818/5Z//5PI1
fv7p+a3/Mqov45ff+c23L9b9/JOI/54mCYOlD8PxEnIh6Pu3y084/3uSUo5qWYLNSAEN/PS3Efmn
NT5f/l3GjEtJM5pAunZxGLHT8uuP6N9FStH5o3cTKRpC9tP/PcPf3Kn/f+f+Ni7D49SMzv78E474
m32D46wo1GWJ4DGGIaBk/aCaaTrw+dMWZY0l7onFbXMaHKxfJkWXo4wG/9aKgCREJuUJfSaG1Vtv
j2vN0hPbhxSwTAv8e2UZAW8i9vSdZd4dY4AvZ2fQ2NZ9t90jmoTdpQJTN/Qk09GJin43sHs57hBD
cBxSu6+2qYgF7TKLCYbFDfvIaFy/Oj3au3kykymXxDUVaINE3PBtF3DJ8BgKbIrK/tRCYZ3Dw9oU
EBhFK1gq/lvV7OYQRgGwzq8fGUgZBTBGTIRxOZoddB2enTDFa44zNE9dMZjMnGEz2b6MA1iBBSax
EN5iHiUxIs5ENBajVMNDt2XZBHJbrMeyjiS9WxCcO16BDkRfRkPWT5IIhNNswAnOoEBUz8Q1W58n
pOtC3sysvg+d8VO+RBtTuavT5sH1/fpqRtp0B0wKyc1GUF1icnsfh3g9NcBFvk3IuvocpSiac4wX
7YPrtqgu/dhjgNDH9LXC2PsWhMjouQZ48zGaxg4EhZSv5wuh992KaJiDSZX6LgLCmguFuhQn3oNm
2uHcl3rM6STMaQLUdktgYV7nuM3jV7ag4bE1yQxGyiTBSQrJMRGsYZlM2vghGWQ1Fh0PoYQtuuoh
vERdqygD/MzENOYhNucMpIxytf564pYckiVBe6J8/bSgbIEViVpj8Gn38XZAMnNVNMvuv6C+aK99
4P4OD9TSVjkDrnzF0HkeVM95WRtZomicyo5gDCX3/0PdeSxJjpzp9lXuC2AMcMAhthAhM1LL2sAy
s6qghUMDTz8nSNq9ZJPDNprN5i66N11dEQHp/onzd/bB0arste2bIWRgkjobWlM+appTBZW7qDsH
y23fVM1KrGk271KPaEPJnv9ArF0/c0bjowA/vGObpv9Q27adUiuJ7xt0tsuac6GScXK+BkZh7XTy
BceiEekBVPSzUnOA/AqmNB/T+6JYCAh4XfvSEhTaJaNrfWbGuJ4Ja0NiN7tmZ9ulb0IWeNP19qNK
s9VHQkFcVdNr701jQsd+qC3mvMvsqVrmA7mJ+1YYAQO8T3a7S5xt9gHuz/5IHtlXYzseZD20LSU9
UTh+S2LsmfvAufSYgo9eIW0wCYQbT2Wqxe+9o7vP1pA3RdhgMLj7q3NIZHhht4ynXa5PQunqQIBE
3uocvt5fcJJ9iPPZsfLMVgMeb1uvIOisW8msl4PRqdLx16qJ8dHm7Lc+le2um6uawMoS91+Ip8n1
piTm49RsxvIB74JtDba4z3Wy3qdWlj5YCgSOk8c6OtzmJvctAWsRrkOSPS6uu7bBvKZVZHr29NFm
eXubMXPrtOq1vGWHicU8m9PG31SqsJxG49ETyjm4G+V5H19hena9RbyMlTMfMG/WL6/Mqmdm0jbd
Qdi59cX1nf1ObeY/+q402GjWq0g/jbi0ykAt7lTDUnGcu9xSyGh6RXDbJFKndkWTs8RP1FD7lYzT
fTsW9V1a5ObzVInkFF+5gkXVmzedpgRfsqrt+zQbDfLntjIiNInE2o/6mNwhAhoPU5fYDGvPhpsh
bcnncglzVmNTvPZNP9yURW9GsbGpg2vaGcmn0r2F3Lmlfok8VPnsa/WzHbfGwWNw1VkaU35juEXB
Ek5K0JKdZhjPmrTnPnLsUou4f51bpxiqBxwP/dESC9i21rDN9NRus/OSlJVuBiPLge95azYiYnof
OHqLsd8RmbRH95SrVXLPX3NdvrdMXXTVdfesuVQfFZmbsgEu08Ps1bd63g0aprDUwtZccuz0wTgs
rlE92PnA5AFu3Aj5P9t3/AvlaaufegafQO7OelJX3t2UZ8mlWCr3u6DWcJmTuNgZotlOCiX4nCDK
Hdj/61/FporLNMkFQhyKe1pJ50ywiXMoEvsGBkwR4smPAc+i+lyvKxJmI8c5cqrqy+jLJioNrTuY
Vm2/aali2zG+5TQn9tz66dEo7IgsPripvJh+Wk32K0eViuxeWwNk7SyYGnoXpalOmWapvRyldayN
7E7QywglGLQHQ6udw7ol9THR4pOedNL2Cc3r0VBq1BnQu1OW8kn3IGJ2WmGSaG3UWSLc6vJ5q5xl
V6Gz7eAKvJdInceyHYwQjfEr14gDnYR1jX603liEc8IsIF+/BomG2JoeGauXXxZSUDu3aIdbZNez
48of49Ie2Na3ft0jUPVLPwaUKYxbtxFoZFfzpUldffPtzksJR3vX/pIz5mdQ0K6LW4zU4C8yLvcZ
CfvUJ1BW7Znfe+qKeMyDWK5qDbdUZ5iE4QI28wG0toepKz+rtaxOdmmPH8Tbeo9Q9Zpd8nVAp0kN
pQe1qalHhaqx39TsktGwsNWcaRnPVZoU1U5UhK9RYU3Ampr5qxqSKYt4xcsistohZTGjJWXQzmOG
Ud/2vAdgIGJurcT1ehAmuf1ds2G+c8im3GUF0zpArrsUR3iJYbpQhTDFpWncO34WcTCM3PzZ7HVC
a7FHCiQw4nl5jeP0JwDR+WOTNumP4UL/ddwVvco/eSCqR2y4zG8GWaE0LdQcahMGiZ4n4oHI5/ah
JUqPEqdcTrnZeVjz5aYCnTo3qPpuvjhuIb96UcQ/Ej74GppeItczbbJpmrPrzLZ7aZypJiyIT9g7
/YkgwHjf5nHyWkhmy1Btkr9p05Tv82S1xAI3YlJuWVfZoRyS7oAvQ2BqarvW5cdPOhaeVd/zDpiZ
8VRMt650t5NgQfaabU5xWoiDnZRwkxBxQT+2lRx4ITnoyFPdABITmXtMO46V9IbtWyipH1xcpNCU
W7zrCWokIWbVvkglonBBpgHrB7EsdOSsgtbsQtHL0NHnOHCXWo2+C4dinLtfpjWznmu4FIvFjoRO
rpUHcVgNM9EjWwttsT7QhjdPTTNbx4JR7IesiptP+IVt0JNSC2QP1ydya33XDlnDG0YMft657oO9
acZNEquZehimYj3TEM1Iju3asm7DKe4CmZniNpnGsxDrb8Poqe5MvKaWQLKu/jmWfWRtkpC5YKl1
6xWNtauTWZ0HFJK9tjF2pZ95q3idMT0TyBpeVmssg4UpN7vZWG7RSzrf8YjB6Kmdh/FE3r6fEzMq
Ys32V4uaI/T8JQ0YBv3B/zTdZJWzfXXutkRxruc7pkTWNzp66BvH28WLs8e6QBXG3mjTgkoAW/gD
9an05MSO89BOvMvjsdXPWNbFnZBOebvGW/xAK8S9qfS6uJlSjdRZ2hbynjuUWSQtjuoN+5DqoU6E
/LVhpgfWENd35iKMWzkK+zR2pfzlpbF3sUfP9bM5JXzfKXWWuk3iJEcm+9CMarjw2CyPaivmkMjW
dzJO3sGp8zJMrHy8JQzlfqCkD1EN3JPiAS961kWMoLi0q6pY+WdmdmyqhGh3KtuVp8eQkfVearTk
hjQM00+PmnTWxzgnDhrC7zs1mROHNQmdk7kU6ysTZOu7pUrfG4aO3utxW3zMuqsOptNm4VqYjGNi
Db4mudo5mW1EVYcRzhzh5rZzct50bZxELeumqNZ5OI+0HMjvF/INbn3DYXaBb4488Fg/Nu8p1uUP
ry6Lk0Eg0pddb924mLNEC5Krc9OzyX5IqCEF1WjDRGkJw19H19Dj4b0Xu4JPBmC06x3e42QuknPj
qBebNtObq8WsMitbD0cWRMTqSDUV+8ob2qNRlZ/LxKxG3qiL7pssefEUR8wFyiW6jv3ENmvw3Xb+
ptw3PhdYB6e8m4mM5tN0BNpinJxlLCOmBOvhUtFVnUnwesRY/VaV+dEpf1Ij8H4mbmsec/R0lyUs
4zLnsvtetXQ9lwSpet/KShx90nL7uCKa4Tbs+upt5vBZs3WHBL7ut7To7uexBr5jN+2XzgVzOxbG
dMwFoZSMNLvP1oflhPI0fLB1uJAWTYHCZ+tTHGc964W8/CwMb+OntGVU1Vv6zWZMHCf63mEea5Y/
eQMxJG2bH4tpY1Koqk3jo8aF/VE53rhTmd4e5LIybSfzytYLtqVi0zO4xn3nkpiJp56sfNFUAdOT
ip1Lheqa7WjsjZ3clAVtz/mSjle8r/Uyc2XN9r7RauSYeLyYGp0sxSulkcK3R4IHU+b+9ljwT4N3
s9Qef39LKmeqt9DLYK1iP5wKu9Ojyql+qXk5EHF7ZgYsf40xZfiSpuYXZb0eetdJdqvVqeNkNsOx
4Fd+KL2ZPrfJ6CLPie1XTQrvhhpN/K2xZiI9C3cnmPCH9pweK/KqyblAP2lv7MGqPsAHjKyNpDyS
B1T70dSI7HvroqEtikw/eJukf1cb2nKjAL2QV8gqby/MVPrp3ICtXBdCejFuyrfurbRDqdIxn7WM
nR+erdmOr+kufjlLpKj1Vo8pQVv5rtAZ9+s1TE1YZfm0acXw7ihq474kgsezrN4eSKpMp0Juy4PW
90Sn5UzuzqNdFsWFsx03lIpHr/K6Tyhz2Z70UPtOfCvjEd+bx6vrFtnF3F3cQeijr4bWjsbB0EMR
q+ZhICqjsWKZCIxsyfSs1faMwAYC6UK3y47mcTUbv8D8/Sh7hlo6vfidFbV3stI0TvyVuNO9SyWD
kV9m9sqDYwg6nKY0xOEZL4uziVMXC0GXbK3eR1mwct2cEgLPaJNZLpvbuJvkbdlRNPDJDa9hk5I9
YeSZ6O8LZ2jvWFwTNYGAvh66XPCoUbxEH5NGdXgkqSyPrV3RdjC27ilvWcOioxbVoRKeFXrsYm4I
15EULOv+xdY1WNum4wRrXySvVu7SSu1AfcHrnfLjXNvCl/28nSqWZyeltvl9YsDNs8cq9GEUM2+T
LTdficNlJ28y8q/EGXkXxfN2KzdJnLxo9eSms3LjUveUK1LESF/mpTzqJBlIDzK1rAma3Jafk6Uh
h3uFqX9W9rVyxHlc3qxictBaco/2jjNY4MUwfcczqQMjMhuX3a6KtW23OkV74T3efqT0kl4nXGw4
ZBYbAxdNc2Vu3J3pWu6L7RTOye3k4hvjJMNZE9UtpCyWWPnA6E3fybPp3XAGO5R6nt7F1kJYvDeu
IVHA/x+bEZP173XdH1q3PAP7ZdWZ5U7jayN6u0Mu7lpxSji17mc7o4CkuQYTfMl2+soenN9hBELZ
/iTI4McuT9di1oo+qK/ag1FxlozBwxek/ftilro6NQW876jeBvtLs9hfLMQUk9ArbDtj5pKqCK4Z
LXGPjHoyv5rlrWYvT1mcl5fMknxZgXkrF8v8G0n9f1vZvWTfNIKb38P/B9KuaRtXdf1/lnXfEGf/
j/8LZbf8e2H3b//fX0VdT/8v1i6uboHiNICeXmlAfxV1XeRZwSocp9KATYe9+n9FXXHVe3VH93RH
esJxrgybv4m6wvgvaekGKiwhLgrMIJ3+A1H3H61AJF2EXE/YnimFASr0j5BPx2JnUbq2yyTYsdgp
Pff8KbGzEIWRVFO9/ol99hcf9f+ZE3/5PHAnJEEdjgiS9R+MwVwsMVR1z9kbRZ8wZK7If1H+JRVl
1G20MC0irOIN6XLkT/XY05Pr+Xkqx9eti8tg5jZ5KabYncK/O21/07r/Xts2rtbnH7+XQDy3dCmE
Ry2c//53XhMLa6Jp0CTwYcsfQ833MKjSMCNbHsRgnTxva/ZNaXa7mNRamK4Xibr8H7Fn/3psTEMK
XRcgBIX8w3corjnuJR/dfZstah/Tsjq5RtY8//uf+i/OuGUJdmQOIxU8hLB//KUEvKc83XJ3bzby
IIv5zbWc7DBnJWueuZ//5MBynf7xuEpT59dYjhQWF9I/ftq1h6ovlNgYGuvYu8VF387HVvzJp/yT
MeG5HncEToetcw2LP1xVIi4Ih8vY2csUgUIVK+uqcnycquz7Pz54nmHZhuPxe1z7j0O3pbZxRK+X
b0wL1a+0/PecsRMvzPrezIs/8Qn/xZnC2TFxcODZ6eRH/vHYAW1o0J4sZ98ARwtKerp+Sp0grDYA
ektu/4lx/hfI0R/uAU9gZpkWTwSeU384VxkZuq1zEmevNAsGx9R4N7MT648lww7YTaWMHcXp2KX0
zw9bQ/fF0Kv4i6YyJL96UWRsXKbW19UUgiknm6VL1Qa26ZahpEFzPwjKiaGb1p46jnmdBWZVMUCx
a7d08psZdZyppkY4ypySKOmzh66quod/f/7+1X3u0SkXntB5Fv/T9TgTw5hpkTn7hAbGkWi8e1wn
qaMXyReq/Ds0kf5Yd8lvBws0skQhntHH3D851P/qeiUkCs/AcIgY/xHj2OUEZJDCvH1ZjtaRtP1t
rdsEh9nbB//+B//zJ3lXBrQpCNtKjvUfzmnapv3s5VSbnBgI6DIixWG1/cCoEdG//ySuzH++YD1d
6IYuICSazl//+989RFVlmJojemdvwYGIiknLrsvR5R4lZnm0NS4EoYbnBG02ykcicuHg6gpgQt1i
VEBKOHg91cvVYcPl96O0n5Dk5KeclHuYEX+Zy6jG9cnrB+tmGKbmXKTIwHWXoha2xpgvu9KlV6KI
LCNBO+ORHQbMl9Syd15Xr3tN9SrsOiUiU9K65w/qpeHLpJHxfh6EYm6wEV9GGvJ3tTRAr/Vpb0fJ
tIhwctzsLtar/HNVeXVkAMIc6SVh0tWTms8QH+dYqMF5z8zNupsFP3zrrT6g1lIicnX0UNn4X4x8
ZaU2mNSq2uqYAk0M+orRrc0yts+W6Np3MdbtJ2NFGFCVqhp1ZSXwxUhphPh6Wnc1KsEh04f8SdNb
defqlUtXlNYFEsaydYxwM9U7kbn40hFzpFVCuWOqlPuNlL80fqybH4WWv9WEncCCaI19pmt3h4Ro
3jpVGjITFD1bqw71ZJgtT4BEPCL3AHgxU9s965bZ3200lPxkUPa+V11BSW9omQzg0SwsVRaSzxjL
09TAPPB5Sq033ohE6kP7rEZc2Xh0AvJ5cLnVPP1iycQxmc36JiXJDz92NG4VlAUOmSlGEojUdIy+
nl6l5QLarhAqbLjMuvfKsm0dcG694cUtK+s4jvpEkk5pQWdL60ZNdhU1So97P0N9iAO18erH9DXQ
hig3NWNYTG52EInX7WqX8y36icM3ab38jNkHhgnnlofQZGRoxFJ+EIdYz+RErA8zJbDnu3qR3k2I
stJn9hef4446GBUeHgtPTmvtbL+oZu917uVQvlJKxaXV9fybFCm/wYklVzz51/6ptFgIhZSg2ihl
iUPFpQtKw3J+bwSnc1T5rIYcMphxvndFmxOBL8b1RhSVOm32YDdhBuaAWyjRfWhR9l5sLHAweET1
ZZuSSX4ws7XQuyoAnVc57BFpg03IkhcUTTK9lCI9iCza1gUgK4D11zEUmyU5SLOZEOxrg++bzh37
29Qd7CyohJ16vqZl242gDzFOBtPOPNmdk6Gunsx6HoIiW3fACdJnoXsLw0jbYdfz3Q6k3ehmqME7
uFKvOL9LRaF44fq4AqwAYpQjqIUmMV4n03XO5qp+NUy+jrIR1nqXKvXDiz3bYIFqqiPR1s5nOLYI
CjFBjTA2Oe81l4AZoHeOPjLCxR2hAqQElI9pzcy33JIJhdqs+mTgVn6b18aMQdbFPym+ydiHzIL9
nettWHKKGQZt6oc8Y/zFvE5ItExhYzpi2n1PshoehNevB49EOLvB0Y0UO+gddTlMT+HtlokFIv0Z
ksdUtKLFYcfdjcT7pvYEKtU994RKB8rbMxuFPnFxhOOXZJ2ss+qM5E5DSTh3JEA/M9c2X8Qmh6hM
ElP6XdyNrMq7+CCo4h7SaqB5KDNuBVdLiNDjcNsti2OMx/SctNO763b9yW30IuCtt/rzOI4HxobU
l6GULq12Rg+GDaovNmuXl2wgyzywxrxBz2PhjR5/i56RRlPubE84pf2l3Yrsa8l44uraNWofG9le
qWK5B8s+o8dhHFPApSpYbN6LrawtIpGuhTVZ30vi5e8jlcx901dL4NVxT7rgPi6rR11H7YXJah/n
0Sz8uKBpvk3THviGtmtMe/5Vz1RMEQ+KauNe04z3xVPmxSr7C9i5PnTbPAkW5slSQluNm3IwrYQk
QFruOopEoSybedeAUvJ7ttM+qasWckE3PcY9Ptqus3Cv6Q9ByKi134vd+9XsyGcWSdt+VKnCU+BW
tg19bxi2jOa5gexQDw9t1t2Yeb36jqG1wcYTfB/H9Sfj7QBb8cvNDrUwAfSlLOIn+C5hmjFeYhGA
D8xxNqHxjPFjzZSziNjLesYqvwCTqkPP1QC5m/aym+dR/Yg9mmvOajSBvW73tlRQMFFiZh+Glv1e
07dGfUvWHXJDca1pAEAKruUVllXQMF5Yly0Pos7MQ2mb8b7L5jJACopvswrxzFCa95Tyez8wlqYu
LKjBcjTsyl54nKscZeSK3Qsd1cR6RL+roCDZcERImG3OfSnBOfO22rq3Ke36Lzr+qA/K8brxmOTr
AgS3rupg6Lffq8hqBi8iCs7O+FlRKjjy12HtuEu/yy1iDwbQOay68pFnf0gg3bjlJlRXZkMcCNMr
PshMqRPV4gS5Ztt8Y53BWpRJussyMjOGDeEAFe/cbfFy55TW64QmGSaehnYyAxLnJX9vawiQ/RbD
7ylQnxw/tmeu3OJaw3Es9SRs/Qkmljo05G99DCr9gBKUn67h6UOlxvE4Una8MupqtSd4pO8nJcQ+
aUoseYTPKO56UDKtKG+gt4j7sS2zsNbT+qNxAVEqS+J9r/m57nhaLHSQfvNCyqK8nsvDRqHpBaHQ
AOC0yPlXV26SBLpeV2He9Zu/gSxizSjXnaa5zcEtm+pI9+B3I0RzWubYeAL+pXbUNO+zbipOVE9k
0HjmMvrUJKZXOtPJb7kVXQRTZL1T7qofqUXFO632usdNlkS7qvhn56nx1qi1ZFdmGCK2m2cFj8ex
OCyTvuypIa3BGKs8Gir9QdEcCnozpeDhTstui6WF12Il9SmXXAnuIvSdYVKSWES+7ZolK87Wiobu
D9WYzcFSYOpTMG++SRWU57gWxbCrB46IZ+eMiavBI0GbwHdM7XNhje9rtzSXpVlul7Lpf+JejjdU
tFqGAJRLwN7wlsGSfeTFff9pAhfaV7qajpVc90WjvdbxSpdm3NokUgxNOMFsyKO0xbtJRrt6wXkd
bj2QgHudl+BhaZNTTTnlxQI+A4vJFSGYre6nqueNN/c1Iymyhsr7mADuFzybi8ZmeClDNR+uZdYA
IpuNOyk0SId62YQIGdP9knZv8C0Gv9HGm1RMJT76HGGeTyFuZxuVYBy6ZqECOjXbHsV+CkpBZW1r
nYvYjIrPzLIHFvay85M8BscYgxKqTRiR1ULzOteyXevUFOT179rODuNsDEeEcvzDtBcHs3FA9BkY
aq650InK5LYvNUr+nrPrG+kAqkawxszT3JPXLHkomNhwMMtnkEVVqPBdQrZQYa0YOc5Svoho3SSR
nebxPp28bG/y+aCY5PcA1/zdqWDptZj6+rza0ZZvh6FVL1AViARM62nQxlc3FzCyJ6yNqfvwBo13
dKp9u1nzKsziUmf2E4a95WeVcVcuzq+k+NXN7rRnitEIESEBhTEC1FDtqZXOTSaNiya2MYBB2N+U
nQZExzNuLObN7OPZdL8bKkG7BLYZb6mgdttpDxivetvMn0hx5c4VCjTVnFdBqdoS8sGqcQL77Hlk
iA9Psfql29xXW+X8oz6LNv4BjuMmNcoPi5bbua8sIkxll+/qKn1JhXeQVfU8u/lHLdSxHYgJyb6+
Ne2C7y6YZGK30xyNxHZ9klazL7SRidUS/YLwyLGuZ7Wb7fIx5646lnn6hexwtOk+aq6S4DsMf1DT
FKo8jQ+2IRi7QY/8bm2d/hdJQQ/RTB4xiKuTl0mgh6jw+2qOvwpczIBYq/U8KCvlaRxTE6aWbn+n
m9Huqp4AWlzJXefp5WktSj0QcHquSylbRZaJs5WW7hhSA8pD1yD06NX1RVjdQiVpYa3Sxh6b+9na
awlbhH7OCnb1GmsYfjDsKUZNC4o+LhmCcGs43+xbG3/WnCfXTu4sc84CW3Q/KHLv+oF1fm2z+qwK
Mfoy5plPVD4gr/WYbuaFDtIbbK3byqapUy+cd2Iwup87ZXdM063lpV+/6PAdAwpRvljy9j03piY0
KMuRMPlyNOvNLvUh2IiNAinrOWkd/pMwR0ztqXpdEEMBysjy0M2JcbBwJ6KWBAoWZ59/ZtNIcMhK
QdkgiJwcWov+CmiF9iyRg8TpfjAhddpbts0v1fPZr/LpjtwYkJDKbKLNLMffzpqad1mzsLqzzXK3
6nqz07xlwGXWLzV7ll3O/uc01zGLo2snWXT33cAGQ7auek+xkMjBxOMeieVJjUmzi1vQBFNy67I8
vKMpNUJ929AyvJjqnCcgG+QL++bM6NTtJvQat3wpdrrN5tituzcTOHs0YuPvRIbDmMSDFwCcWp4F
tpfv1ORf527Wd0njNN8LP+rkdE4Z2gunVBhjexCpNu553+q3rUr1Y9IU9alSh3rd8sgm/3HRV4C3
SQ+SqcCDeQVqYb+6i/wVL4YIhainfVqa+ls5lcOhNnLtqW2n7osMSnI/0Lm6YKeRDiTBuie+M+2X
itjDTNebiEFfRcynrEMnJQGvK1qq/sxqnqyE0TsvelME2pgMJn3RjMuwR+MjvdNXuj+m7XjsKZ+C
Xio/VsVSMUHx+mZMaR1lyiC11bEUGtgi771cmmjVOWulXB8P4F0lNCbbPrUdZK0Rf44Nkx2V3L47
6prjMbZyM5pzSaG7Spb7TJc5q8WiPTmM2Arr3n5IEaIoUXPGNzjhBzFJg9K/IwrYl+OeNld2sZau
O8KGjmpvXnYeNzp7qYpBQjhUUZ51rCulWV28a6k1r0u4L4UxhxMQ2GO7Td1+XIS9r8pBnvmcNRpJ
Mu03RvIc4mJ2T7HrxWgujQrNjNU8G7CnuRfmj6LOjcBehp+LZ87vRpH8qGE6XNSSxm9ltv1kO949
erMCcpZ0cLIy6sQ7o+ims6b3L0LINz62P9WddwSoakV9ynK4t9Y16GIkN7GQ2uNEdZTwdQ1tqO6I
LlajjhZUaQaqY2bDC6u5fJjXsJNpE+Ol5cJ6GxOcey7B9m3KeU3HxTVgUI9Qf1MyhsGa2/UDWgVw
YW32AjJp7WdepCZUi0y/F0qZUcrEqtWnwtfdF8L7UmRYYFOO9hXdB//VAuI3xxsIO88xEZhGB+5Z
3d3UDZMYbW8pjmRwkERVbEdKa6q9psHdBGgOtMkxstOarhsbs64B8Gs0MyHD7cfcW/oh2ZL1PW06
KDV53qFw2F/OAlsrld4a0MBPIrrF7V1pxk1AGTC7gaeTB8S58iOX3wPlgdaAGpKoA6P20ptkoo69
NU12FtOUldT3UVTPJckMx7dGc3pYyWX9nPJZCbrZxbqfZgfGsGlvzrtB2Y0U3OwsMurGNPvdcJE5
NM9Wyq5pMqwkCT284FLXujhytWUAXFt0xMSuE4G1dWantw3bsy6Ip7bUPV+6tbBCXJOnnDGzh87r
iu8qxoWEMrmELhPCIr22Gc7dt/IlLupzMZAeq4zuVNKpZ1wO7w7u1XIDNFQBnHJcYCeWs0FNSGuV
Ukkpm1c+qHupyrp5h2iHS9pUt0Duil1etxSaU8/Y0S4gfpW7Q/3RNq15Ilcnog248hpSE48Phoyn
l5le51MRT+o5K0zropMZiWbNIqEC59BftRyVvS/b8mC0HpmGwclG8jrxBqV1NXgmVjrvX7LjZKvp
Ak8BaBON8TONsnwr1a7Y4THeKXrk1HnVdfwfgYXRdyio0rRWfbkjm9N+AkQW8npOwCny/Lmle0+r
BUpX5cdsJvcjh9q94f2dFrtMdI+x7Hl6FY/wdaq9N6Xky9AvSXLqCQn48d5KDBmi5EwBNWPb3ybt
FsGdgAxBoH6KefDiI+w0OdOLLegdQqANr0HpYLStwNOoN2tLcQ37kX+9SPJN4IP7V0dleRqmhamx
QWjtT/iD4kB1VgTgRoZoJlCEVzaMj2wpY+7/Kt9XKaNcF9XyrYb0fV55+wkJglQzCv0aOPy59Uys
rZdp85ttfh3X9KDmYd6j1BqQm2P9vhdQOZg6rhN01woGYdDCqIe6DNa0UCfTzR7tgRlRzTSdYurL
WsDVQsYVVThC1RkvTp+LrwUeSxxWeVWBR4SKvh9oXkik0HY4W0437h1HEnlIOt39aecTiNhVtG/I
H+1D7fbDYzK7w7vrwTvmyLMvRrrbGVPn3LGWm0ntMJECUulfCCq/hpSspLcZy53cki2mPV3GX2iw
rPDRy9tzbSak6gCxZLo/9Q5tU2LgGsjrRLU5uBhvGH4Xlm4skW7Em05OdMF2rGSd8sw0W++Fd+lI
kAZ6IHTVdWQbXDS02Y+Dt7YNi24dS9UFfL01TnUZZJG/FPYUR3Ty1E0PKTKM9avjEmfaj5UewFJm
TOtLYfb249w/yrm19lVr6Hf/zd6Z7UZupN32Vc4LsMAgg0Hy8uQ8SUrNww2hkkqc55lPfxar3N1V
so8LvvmBH+gbw4YhpZLJZETsb++1kUVsfnWNe8SvUfQs2x4Q0dnLutjcIa/BAOIxHRg6RG8Pt2qV
rawCVqeXJICJIVmRDl9zAvKWeEY/2qm6z5rBvcf6NBNc/RHHFnhjmFtiekqz4XGqcTPLJjY2QReu
tJpIilM0gMfHMDz4OZoQA529n4TaAwyKEBcU2iWye7wMgyk8FN6wStNAbpqcU1fpW9HO0V0Os3hI
EF7oJdizg8XZHVapmjY6FP9gkROixyeUYzpfVg58XVn3hCocLWinBVMV7TKvzTHf6FqKjoOiEdya
tmkd2fRBNY9Uvm7CoLglc0c9PQ4R2AZFWjOlRvBQHmZjoznDaZDwVG1T3el+Ue6q2OcQWXFayVeE
y6uDRgyM/IM+DpvYqatF6SNr6r2tnnhf0wYjNLyHsrXyB3PqGnM+sSRnT/chIOHvN99Hg4w3tmVq
OgsXHsASZbG4J4bFwzLGFh8BuPDMD6liuL6942jbiBkCyxt6yaM1xPZTMwb2iYlUfpFgEbhh8Gnv
lWGa97rl+8VKWdCV2FVLPFVNUrvP3ejkbGS0NNvrrHA697YeIqcpRLvWwla9iLqcpg1NSPFNZtK8
x+mpEzuKio/YzrAwNW6dXmWlToiggjszLUpXxu+lZul7bwBpqjMZuQ3JSfirONBq1p1cvRDBsq+s
Ikq+JvbkoZgCgmmHXD7h6e44Hbd++hpZ7nQoUsl/Z72LDJFoHJiWQ1phBSty69bNsb4u81SK17rw
jV1PIiBdwGBU51iH3rx0yto/w0JB2w20zczvfNBrt/nIMyN/YIjkPaZ+mj9rfPfXWs2Vj7ic8V6x
k9yNWTg9eiMIYOyvs+0L++SzUWnqFRVYviREopddMWEhMEN4RTVbeJxTNn1oUhwKTUqWlDzC0jcO
H0Rb+qWGbgOSQMpFXTsS6hCexAfNSoO9OejjRdX37nMkYEvodo1/eHRCfN1thJlIa4pNkVfe64TI
whcgT8pnJ2u8w8Rem031hFk+ZgNIaCKtg43fWXcsXtm3DnzVWZFN2zJs0OBtWJW/ZpsXUYmjvYTI
PTkUEB7I/Ju36oSfbDs/ji7xcZBs4bEPDzcvQBbbDqiiwUfvskIqLahcSIvbsQZ2jU0OTgdHKkRI
adRgWZs+2ct+dPaDFzQHgPbFO553BoM5UKASWpCdYPhywuQO5JWur5o4zS94YDgAUoiwn8HVV/mW
YzJRxM4oOUXnlFSm6wxjKftsZRtvAt/qNYJ1fwbSUN4CNs6/WWWbXGQYmQ9T66kPV1rOhUc66uRL
W9OWhujMD6tt8m+xEfdyoXV5+5xhPXmKqqq2iW7YlVo5YUklJGA26S3AaygocspdBQxI72qrxCPu
AOsMF9Kr9RutauSDb6fpe+ZXD8JFFc1qdiTwTaZoYSe+GFDcy/g8tf34mtaEeJcV2mnLfgonu430
Pu3qBlnPcrs6pdBh4CK3RccGQ1PFpB+ioJQp/eACaFY1eOElsX4rX1lMXXlG+JmzMYnrHgEeVfYq
Rq/Y9IDKOFtnHUA9w2GxwczLILpwNP2iKyUmc24J41JvbQQ7uyFvYCnbf22rwotXflU/SRix0SrF
aLbv0iq/CfigAKaDOLwHPFqNa1jP9jtbI9ktyD+Mb5GPdXGZJIUd7WaoLhsp2C70K/R9VG89wZq5
aKp6UEvbzdRLm7sqWBRs+Y++Z/a4mueVzVX91p/mzJmWCffg2+PXqiIkwOS4HxYcrfmesEfiHTBM
ENBocZ7qs449MMexn316Kt4rv/eQLBsLU/GIVUSIEzBAwuuVIyu1NaWiLJ5Q9WCAmagYeJj8jzvR
dF27KEZC1GvYRkThAEvlzVoGIdJZLaI3D8bG3pahZSwTv9EFQQU9XKeJV75Vo01AbZDEVjtGN+MR
1nQyxzjU01QydWCIweEtrbw03tGObr5HSaMfx0pmHHCnUWzHLs22ZtypJeytcaMShkDcktm+91sG
ZTbDtLOCZU0rhWxZTWqvfpsgI7DFM7TqMbKDdNVDbiOqU3yYnXCPlibdQ4Tb6txPJlZe3nZ9GKu6
uhjHVlsxq+WMP0LDwhiKp7ETW842ebDi1Fx8AHs1g4WbROE5cKyrhLnv1vBLKg3S1AyXBjGQXZSK
oKMIFmhZVstXK9fHG40o3ZumkHZg7J5GQ+TvrWVG96YdJPpu6nMX8VeWTy6r+Unzc3GZFLl242vG
74wYs/3hV8uLq0tcUCzchiS0MtsnfnIsAKW1SS2A3uNMz/CUEzPUxjy4SmgDZt1mq3oF8Di617uO
pfTvDRPfGy//9OKOYgpq2AbGm0/+nsnQiBS7A9hZ5TdXriqqXVfVTBF0xvZmP+hLjzPZTL2Ouvd+
Ykmp2pbSny4WEJ7qt7gAs+4QflmCToZ4nzFgAvJlbnq28cybDXEmYmIiy6SKsBcr6kSKWeaHXkbT
BXm5y9ogy9MDgt6YOLWSJV2ucL97dsCs9eQN8jY2tvSAQv3CHQQihmdZW7WQfnvrbmg5HFg0AZ/L
UL1FGXUAmt01u1LjgR/leOch9M1WqcExf3PpjJnO8OnSuWi2BNtMA3XQ/mRiS7mVuHyS3ToeSs4N
+lnKYcyXbTQSo8Oy1I94M0yXubsY51Bt3Y4bN1mzC5g9Br2x8kLfpWEv6OiXaVO1ho3f7fUcklk+
aOSqW867ScwG2IyiHZUQv2vg+oRpmN1+BOwZaEmCovgZnNk599OtF7KWFJ1buVu9KiKOOG43UZg3
DcFx0pobMXRq1bE4L4l2BAeh6+03Jl7tvtJntx6CmyXI7xh1ryN74Nv4zb35F9fXksrhviTvbH02
CfpoeEoonPt4xnmGDkDSTrqXVb95me+lYJ8/R1fieOQrwKNdfPocCwbG9AgX7pbx50jLkwGwvO+r
djUMifpqcIDnGRmTsBdetgJzrW5CNqGAofoyPuLZca+S0YmxzfBlKawsvWrMVsdD7U3aWob6XdHE
9cPfX5rvkKGf/2ae17qwLDqxsPWi/XyyaVKlMCFIcO91tcFDYTIyi7Ar4mDkxaQjOYY8uPEV1Mn8
GVKzoFrF0JdBlwSHUY5qhZlhfLcid/jRR/k/5r/+hcbxv4i/YeCG+ekTnAEfv6A3/i+DvvRnd/aP
H/jDnK2+zOZUDiAsbEA0FEgLPBczi8P9YuPLlraSUpfG9//zB3EDc7arbEu4tuKHMUxy19Y/iBuG
/CKwD7sOFlHLQucT/8ic/Z0K9Z97zZEcM11eSbgzU5LX+rQ+5QFJH45A5s4LJja2iByBWLfCM6Ot
nrdsPZ18Ss4ObYQBYRfTwfPvjw0z7SYCEBc0dkfBAQjHikFLI/A66ROR9NRq892gtQRh8lFq1LVU
3doQQs6gGLNnU2WHB2nR6rWAS8A+3e3Cvcpgz1tZfZZhZlxT16jY9o9UEDAXOA0Gqf/a94aL1pC3
jizqJVdw3OqFqFZ5bjQXUc32iC17JHHE4FQ8sBFe2kXbrqaK8i31PXfd4NWaKiff2GM8oTS2s1WP
hG1euheer4lLHFr+lgor5iphCG2RHC55ZrWcOKVtcst8L1DTsInXb1kak3gpQlzstTUt2sEb91GR
N9eT6/aHONTJ45aK0eookKdF82oPmrPDkl9tMCiDqXJ5TSdU3zzKai6bcnif2tbawFBLFjLSLhWa
Wh5NX112vppvrprUexxK89iUyUna0aoZ2wPnzDntnJFUKbU3mTv9xhvMdza/21rmHM3BTrcJy5bR
m3e+O9tgQ4YvVjwrVj6yDCeIRwo5hnVj208q0k9RJWAn2iuM2hRItEO5dn2CYzhiuqOYKw4YXx5S
4BXbMZTbQWN4BRznHFcFkxCqbhiP+OTfEXq+jpStrNJK6deTqYyrsZ03rGwbXwCOA9elq8p/MzyE
jCAa+A0kvbYYpuRbVbUaxpzSuUpTH5fWoMaPiiH1oqVApERVGaZjXEC0r4L4ShdF+CGBmNATSPhH
+Ez70hqIOcfC5r2IWwYyjnYjSvcQt026FL6g8XDSKvMKwcbbcVY8U7nlrno13ThBfh3bOlPF3j5P
adjvrS4JQbfig1vosWec3Y4BRmiNb4mFG9TRkpfUbLuLeo57GsnEtpvzzY1t0yJgF2XEMu8wMFCc
i6KiX2czFZeB4XhsYvtKaNK6aYiQipNtU4gAgy8TJU4mLaRCR8Zpu2nSpA2B3va+tuaApEqkD97s
KkEKqxco4C4KYQusnOivl+ocuekLWWocZm7IFHPQicy07lbQYhkkJGrSAYB2ZDAWhQ5ncF3bzuiv
pilgBmKL3LNXHp0pFDJHAspKq2UBXYY+Ls2TJsO02bVAlptlYMQ1zNQYhPejFkdUY/F9dhpSrqlD
MNXWc2dpdE7WXUK+bcadk8XVeESjT/oNUzgcsQxhKuc2NUor38dWouXAfsPJ5XUjAGh6DXp46YNm
IXeMQj3TRkGmrOm8IP3odxjTtoGpAPvnVtmrNYG6MNh4qebU77nRBSnneoeyMsrn8mCRla71wvhg
fMx6vjFuE3nnyq+ckVSmgLgPYDrIdwgoTOaMDtFpqaJhxqPniU8GPE64WPDF8arKNTqTf89Ijm8I
aG5sEgAv4ghXYh35zbeeJJ+EedeTIY+jUMRnlUdptJlamTnrtOlq/zKIMz59CQp8O9t+mzXJArbF
unImczUyWkbWbgNb7BUsieStZOIVblybgj1Ctg42UNmJ6TVzqSQpQeXcuNmEZYp2JMwzBXZnkXa8
0SLAmzx6Q2UtSkj+ULcPSjOMl1iFFCy4snntQbZRxhQM5UULeiDDezlF+3RQ06szZ7iCmi24qu+i
xr6jk+vJySLMWlk5PjsWlgFqOpNrM6JNvg194GxZ1twi6+Wg5WvnmXqLKliYjZxehD6996r1VpXe
Zg8A42cREfk16jiFUt+i+L24LDnFWhRxDn2Xnhp8RebW1TyuaDdSHKJ8fJ2LxNHKq7EitqkRuGu3
fl80wMJtAEZrA0xuf+Sp/dAxiQexGJTNbUSRkHmDabjzNnB6nNXQ1uqI5E9JyVg1+nBjYT6adoks
4XbqSRzcJrYI3jUFcAbgKlvjlVPJ8K5i9tO9+PnUVMhbhClnCRnTaunDpUXl3MX98HXAnuIsFPcy
KHZfudQJFNNGeHU04xa6M8pGeCW1zF925jBcOGZ7PYJT3nuE7a8duLgbWjeye23S7ZPmJsPzXPJ1
XWj0WUCHct27eqLcZaRIJTl3bp5/zajM22GC7Pdel9rAi1onfVUUE15rNYYJ22jcq6FJSUA2InK+
+gb0kCSMsTnPdCe1qMyWuimvMZ0PB9bDqRjb/sMLup4Rq5vbaGFaCXHX1qjwMkwVBGubY2LygWO0
8peRFuiXccd2Oc+FeoQzGW0ZfBr2xmULmpxEVg48FaienI1fdznzB39ZU8/3zbCd/KOztf6JeWFb
rPCHuGjASDsLETV4B+j5Kq/AVpoXPtUs6UVCbe6dFpllesqKwYl3saBybO2HWhetSWE7Tzh6mTdG
tTtso8LLjQNhTvmea1V3jSrt3OmUBZyysAnFsWo8+54WcetlaudOlPG77JSO/pPqNP3aGAjIL5Ix
GS4of+1WjmGrnde75lr4ljgGvtHsOzIb3Xf/2YqgK1F2G9Q3gewK0X05UWBm0F8x1fc0pGiXnGjw
kw5+XbYLhSpUXaRaOGNR/TQjN9+VNBDiN8+WrT6NlPQmTX4AbNvidTPN2rquoi55SmtIS5scg263
TrvOMwkNu3Z0cHH4TXvy0o23B0cLKwbDO+sfIyNm051laOOVpbzAuNaoVYADlkdNx1AQXgrTHpSi
VRHw1ld9n/i0TGlxzxneETHSV+Va/inMkFCWXdZ318LgOHuQxWTpJzohJqDA4GMdptH5DR6umSQQ
aWN745WhVTxg7UETpwQvSnDBkFDU11nMV55CRXfZC9VdxLYgCdeU7p03pOoaRnXvL1MCK1gBSor6
5GTuXMsZkJVCY8d6ll4REU93jl07247UM5HwLk+A39TTqfYkQ6esNrVjiNcCggfWKubhdVdR0oR7
YsHJne2DqV9ScRGuwsrDEExcvgJAsG4UEQrGsHiZRVseU+A+91HNhD9mEMSstlD+Hb7uwMflwuow
afmwn0aGIKcKJkuMjicjd4cw5vCxFg2tN7g3ZXM2jES/cmrbvEi0wLyXAOLKLfMloCI5hYqoiI1S
jPcj4h4axW73ANYYyOTk+v21O7bt7QAKD4wC589DYEz+O8scD0uv6gkTA+Y1/V0S6gzfOH+8FiJ1
j6PUk/Mk83Npi2ELclEsKJ4DWJNN1imvCgesuHUsJ9wlmYEXQmHoXoSZd+w1a3plwYhufdtI3gs0
320ZlwJzmKnFe9FUHjqHtMt3yjzZgjEQZlaGhwIHEwtUMQR2tpBhFUGSqk25KU2bkHtoshBse6o1
PWg0jbut855Gvn4YpquY8cSyBNv6BmUdJ5+Gr7gRRPmXuW5Y0PTNxPVWIkmj36pivygPfz7xfFIE
GHlkep43A/VXCawo06qrQwam+u6nM+D5xxHq58Dnr7nEHy9DFpcjPOXKtmF90t66iTp7aj76vT1U
fbZgmhQty7GU9m+Uql8Fxvl15s9XIFTpnAj5z19VHuFqRkMoiW4osAqv0bzCq2biRODD/wdRocXh
t6SDNMr0MzWc37y6MV+tX8+PQtiom/Aa0b7V57cZ0v+rFZXZ7GUVFptg3ggYTqo25O/BGvZ1cu2U
3/FkcnyOx3ygZ2V4AtpxN7G7kN+3GYjHybzxyBT7/mk4DzalzsosKaLT6X743qMGL0MjQXpVQxiJ
FzkDOrRsLC5kn36oHL/gQ3/+3P78hjgJ64guXFjHwPrw6/WcTBlgAWmL/QRyHc5BHPp4FfIQckir
OpAyPMYd8zep5T+/qKkrndyyw85U2fqne7LyPF92sUslVOhPJ7Rk9tLNMyGSQ2iPJczPfyfI/+LO
/DWxN98xvBhaGG+Q30RU99d36LumAV4qbfY9cPG1VRnv6K+bVB+a37yrP38FTG5LyyJDjshhWp8E
SIPJcsFcJIM2nBrNFZhKj4UzE1b7O5XvL64fOienyFno1C3704fmx2SroT8ke8A96hi0bCnAkQf+
CfXDJItlmEa9xSfBOa8I+voqJgUiz46wQD6w5SOmx+6vEDhVmqr1pt3wfX9Yfd8r/v3F/9M1IZvO
rUWMWHBZrDmr/7Moy5ibjo7cCfdxEOj2vnDa5ozXnMPSP34dk6+9BZwVHQTg66+vo8qgLn2/DfYZ
vMB2VdnEM1Y+7okfkfL/ioK/g/ICSDBsydP231+9PwmDq29JEP4sDJKr+OOHfoiDQHdNc9boFTt8
eEYW9/UPcdBWX3BJmeBjUOYw1jvgBP4lDjpf6AYis60E6qH+ndT7L3HQ+SLJxvLNVqYQ/MZ/RG74
E41XZ3sLoYWvDPFwHvCflpYws2iMd+kqDCvq5RZlXzZ3bef3T0HXdDC3+rtWq7SbzCS+QrYuKNiA
EPu0GAeSiOqj5DnFp/lK1UG492K3XVNmYi2JmBAWga21YXBvXQ+Kkxi/PqCRoS/OPmLGN4pBvvac
1lb95GrrkmPBSuVsawq39+5IwuXscUX9aEL4e80dNlEaTW/MIuP4PObWTZwn3TERJv3nJLsezEjp
ECZZMnyaE+d8bH6b5+4TnVcEgnrsollcDmulaf1Wz9hhDYZB0LQukEDG8lZPzWAdzOlWs2jcm4IV
ddW2TXkrU6mtax8jgI+TFTh5A+3Ni8stJYT9ozEO9GAbXvJBpV126hiMf3VUWi6o+Wq+tli/7qLW
SLeR55FGlzCbV7Iz7XAVpYMm0Iw88RJH9NIpiRNSLx2y8mIgikn2ABmEDerwYrJZLdjizYGYUnb6
cy5sQIte0eML8AVHKrA+F1bTRRau8dh5QLCq4a0J9rGmMxUdvsKc6OD3m/y/j4TfPBIYFCrW2v//
8+DuNQ2T/3P5+t7+/FD448f+AHTrX0zI3LaDxo/nT/6H5cITwRA6YwL1neRi2rzUvwDd5hcWdZT8
eWJkQ95gRf/jieB80cFi8FMS+YVlgJ3FP2C5MKv4abOH/4mtAQwMyCG8msF499dFpSpNp1WDovjD
L87CSzsi3uUL1kN/WWFF1pr4IFFnd+1sr/vpSv3FpoUH2KcXd8AMKFg1XBPKLXijv744XwqiADZw
NZFo085r1FwLz/cDeQXbfGvT4J1EximsydK2jKtPTS7IJ6EaMpQdsGwGDf47KFPTcNlZDjThabAI
yU0DA4zQBN7qzva92r0ww9phisYBk+ZUvNQ7vJwrrypsqrV0K74oUgf5Tak7M5jdJb7BL6S+E4va
0IsrmYtkpuHVFzzLZj0DGFeO8WNDNpLqbAuA16UtJ+1O6CWH8oKm3utq9I2T4dTanT0RJQFX7V7N
XfH4TTAO+7GebUNNG++jsJTr0ibALiLq4gOYpVtj1K2jG2MstcKQo6kEnbAcKgLUC8OGoLjj2Gac
COEpioW0sO33GrqreYRiVRZbnIPe1g9RmSqNYPoyD0bnxZnzBMSeC+PGdIUPuhKgH14uFFaEg3EH
4KU+ge1klBqXQXqdmn73LfVG/TmT86ZZt5B+lpDD+VHX6JF6fJ9Ao+b06S1llI9tqVlrmok4xRvN
0cnkkXxPsfOJIGJQAAgWldqLanUqDFtqNaHkAu5KqBEjoIvQGR5VZA7NbkqH4bItyokPK46PnTOk
2wRC6tZwfLLHUenkp4wlbh8kQ7ozu6C/8+mY3rpe7yMCtKR/akdbTy0fd40T4zXJWCmARRAGde10
2Maae5WOZX9yOQVsYpymkPRi0hI29FKrJ6Rja7UDQKtGieKbY9EK2orTCHWyWKZWir0q6j2cclrC
x48StHGZ/Ox9OtYXmUaOGy1pWqmmrR+VL5xHarj0Czr9uKd9eh1FaVLzy30Oexr6M26FC3Os3LtO
5SH5nrZhSkMS0dSHemWlbmEt/BLFnk+wvrONKXFne1186/g1gK/OIkqaUxytoWvGeYlTHCRR/xI5
rSk2BblGnUus46uMayq714HoKUKU09yMYfaG7DZpGE6XTmabXzPpNTe6OQOCbagZVMs64y0+EPvb
5BvVrd3X7n3T1Ea5oBBee4lCYzhxBpB3YFvwK7HfLe1LSaUyHjoIkRW0UcvrN0LTCLy6VkRpEbk7
fzHEpZ/vG1j6X4txII3XRYYxj6gq8eI4NdxGRoBLNlhAKtxJRV/roUrOfRrFq9JvkTBDwyLXUe4p
37AIs/YfU4M3HpRmv4kz0/wgYlS8h0Md7UZi8xdlzIZ5qthuCK+Ae++XZnepSHYcdSss+FIPorlX
aBhvkWeiuQFfXGnML7DZ9T1l2XVq7WK9RGOFFllfTKIK1qM5R56QoYld9uJSzycIEGBqN22fhx9w
msS6J3t+k2mdc4tVWLzSFabOpI/brRd4XMLBqe+RlPJt0tX6qRn89AmCSPmQk1C6p75N7oMavnJR
jI23suIuJu7aIuIV9BhRo5YlQ70MEYartyQ0Mv8YmJVPAB1mt7w3cijIa1gX3hOR5q0XjcGH55nK
3skRYDPGbmi3O7r8Jrlowmhc5yrfOIQixoVrTbTVRW2FM8LXy4yN3zAqshWaW60GDJav3GnkXziA
jDyQbJegtBbyNGb4gYIcYCyPNpBFCFOZZpuuWxsH9KkpxvQwmcxMN3jrxOyWNpy9VzrixaJF+txW
U7cvddt7rE2j8ubhbK8Rjuo5ynpex9emCzXvNVAj6RSvcSmDxQn6AA6osfeeUTH4LKN4uhZllEDz
NoNu7fnh8MocorhsKvKrhwAywbrTxmcGmBnkd4z2W2rktdusNYtvJQDvPRSSYN3bcCHWOkNySgC7
sSlXakyzJ27+yV+nUwecth9j19zGXsMsFv8cYBOwJKqHr1nSackmsokXsi/E81B05qprglhsUua5
Ekhn2TyD76TJGdCgfCQtpD+VmNKXOgDDt7BtDLpjJ3dFfrza6IlfX/WDct9rc8ov9XJwo61pNeTS
hCJRskwmL9+O/tAxux4gtpdNSUG5X9jmnTcOGCCxT4bpIpdNuSN3xh+QxlPMKDWYeo+OlwgZBh9u
CvWzjouCZyaemwXb9jDZ5vGcNfZ8q02XeKmgfFNyQUVCqnJHY17MukOJSP7A0oPhmpp0G+T50BX3
cdgwya0il1pFwIU9cZqNjBPAngW5FOxTGZvZ0m7AvXT0qCeBqcG0yNPsXHrAwS3J16HQME6JeLTO
kNUZUoAgMa8iBhOXgu7jpV8alDmMVc/TdAqOqVv22yBuQwYkjopwNyjJlNQtzOBG47jFiUOfaopI
u16fv+jk55n6GGtfd5136G3cty3R8oEckVt/VKPuXE1TTDcyrQYEV3SfnZBLA+gTFnG5cnTcAFqc
b81GDeegF+4NvGH/QTRWtMgNUq6E2xg1FoFBaCNDNKcpqDqRYAuozgOAzuXU5H2Sl90bMa2Y70xY
gXTU/RFmQqAoUsd2AllXWnBFp4Du8mydVB0LclvWW6nnBTsIIyBYHfWX3VTww4Es40sj1yCbhol5
KQfUePK5GuUGlKfDecYPGnjjekrTFNkruWk1XANaPkGRdNUm1H2CGKb5JjsNmKWqruIRMkw6ekBS
o4LX4wfnIHBqH5qcmPsUK3CyWCA3sjB7MDZR5pz7IHejhaqFmaLNSAO7qCryYx47zhOrXA+HnpuK
fRAboY+0C6bLsS6GZO+E2nSjSEYwKzSRfBY9Nm5/bwSEohcGwZYFNrzqWzviut3SBdu8Qaytxg2z
V1AzXVUUO7sz9BPk2s5YlE4SEvPEDm/xaMV4snDB9/R7AuEFv9pHzIex02a3Uo7lsR4b3PhdIqHw
2D4Nw5uiDdvHxqqNx74kNWn7zpSyhA7ANhtFUIF6c0fCXSh19Uapi30tK69/EBNbyiXE3vjgO2aB
6m2w+1qDdMjvSz+tIW2QIyE/wdDvXEK1v4z1qttVmS3vIhprdnRrRNRcK+dpqOOK8AENS5SPOGoo
SDeEmOliIih8eDzAi6XvQs1dlFZcfXNjgzl5NxmpyYoejbcW2h2hmHow5DIjxGft9CGvTq3mBjXk
6Tw/BVFafDQ22aUlnoAB+0geo2B7BF4gfCjJQyzseqs+VWWf9FdZKkF1VL6GbyhhUjVhBtFG78rX
BydbRb7gUy9GnMi4B9wwWcVsiK2NRa/kbQd5Rju0nu3rlLwaRndwVUm9gBAxm448cQ9tZycO2x59
YAesPNzWo4wJ5gBqZbfGmI+mCOORvkj1yJc66g54GMwj5uDhNPHQiXmkx/b9iAaZHQcyXCXZfphw
kNxdy8Rn71ZsWYuhONJvoL0ybQ6HFaBXBhsQ1ioyVITFsBxzcug2ja7aCu88X9dDgEfhkdac6KEi
0B2epqBRzt5qen+f5FW7CapS+6aLyDvEnph9JKwq+5FRN+AMJ4iezF7qAacErXnk0y4upJgiSCEp
mrrFw5zqrMQ4TpLmEtfymhMJjiRcgrPArcVbX4/8Ee1yUHK4LDorwVEe+PgEIrZHFOK5pXXX6AbT
19+cxz7VDNqYSmeFHFsvAhZS1Wdjc2a0TZuElI3iqE/2eeN/zcLsthTFk+mmt4aVsbDa6LBsMl8Y
90/Xf38e/FVH/fHySgenye6Oqab+Sd+EiGWkca8168oD5klpUnbi4ifHv3+V7yfa/4w3frzMLMCZ
Qud1LPfToXOsp87oJ9muO7/hTNi1jLFtzcTIJYPZyh93RWow4cyC94zliXQ5SeV0IbqELDOdoftR
y9qTKtLmJkZ9vpgvGYqOblxqfTE+GQYHhTBWoHRb1sXmjHJPV8/3N/FfPeY3eozNoANh/6dP/E8K
7baNXqvX5mc55t8/9YdEK7/g0PypMI3f90OiVc4X4WLSRQYxZtVVcgv+S6KVX2xBY9sPNQZZlx/6
Q5Ax9C/zwMzRhcSRPyu4/0SQ+fwtYI7ABl8XqD8Cf7P9SaF1jbBTNcySdWOhv0LvGcfHwFDDb4YJ
v45XULmxm1LXYigMqSTqzU8vU8NEpZQtU2sFHPul0zVnRpH58OyauNv69Otuf/oU/kLtEfMY5Ofv
3fyKNDpDNZ4nNGKunPt5TOLSfeW0McF3BtkuO6SU8h7AfkEKd9U2adxQaXjrtER8Gs+5wYZBxTvt
nNNLNppiq5dudKhVYB5ECScSxRSzxJj0FxytppMYIHf/5u/9dab24wrxkct54IKF0/70OIpskGr9
kNm0ZeQprQRYzWtb8M+YTSyHFLxBvW8rugSc/L3KcUW1g9M/UO9QbPHKyg96GOL7LB+ag08k9+Pv
/zzjz/eJMz+pdfjQiIuGw/348+W03VIvImj4OHsLeRFOIh6WISLQyq774DhGjFxB6rMFSxqTbLCm
+7sGWYvcsO3sgkHaj8ZI3xxWuaMQxR7H8PVADJwEeccOi7B5Fz/jf8aaQeT0nORG/rXFaLlFPClu
/v69yM8i5HxrMGtmKAJHlkHIpwmaE05UI7emtS7ahC2vVTkcaQYqKoaClqe+CrF8pnQVrrW87t+B
mFEHlqQZvQpZikLPIUm7boeheVbo7fRACQ4IsWY9DSJGD7Iu7Cqc+5fp6rETzb/K8Hfum5yjBUi/
58Ii9hp61pNrNeYlcKElfr4rZwy7XTGq9P9Rd2bNbSNpl/5DHzqwJZZb7hQpSqQWS75ByJaMHcjE
jvz188DRM1NV3VEdHTE3U1dVLtsUSSDxLuc854iYj86jrNSZUGSN9iUZGRXZqRXtEiK34Mb4/raf
A/Kbi9G5byQq4UVQBXWmd+RJeArfDIFeMR5s2zxhuAbYjoch7Da1nrK3v/8sf9+4f7nNfNZEeMOR
fjse8Y1/ui6kT8K4aGexRfBd4ijIq12djeaZhdTed6xfRjZOD3Q8tCLlBO7l0DcMUTxVND9cqbp7
FaPYo8Wz/eNY48yGD0/xXlW+BZnUkY91UjPRQ/g4AQss58+QEchTj0brhMTNeLOcPD5L7cUxBiP8
c7QS0znI+2zX9Z75Hy4cTtZ/OVN+L/YXK4wjuBX+8mYDAgCIq/e2YPeHCypleDKLPeQoOdYfjdkL
d4rtLX6+gomsCuKTIwVGR7Iv5QGXSvAiWjF/gekx/0voM5c0XPAQuQH/kK+5nC4/P26QN0nJtP4H
sl45FGIU2zFAXE4y369kmI8uwYob8vj+Swj47xcLlyW06QQWR/qfX6zm+TAGcye2+H78NxOR7HIX
Zw9/f2n9mwOR2uz/vspf7lLyDFOvdRqxzZ00/cL2VJ/J/WD45sJ83/39a/2bE2HZSmDzWeDSYLD+
/I64JOk8ERNvK9QBJ8co9af2lHem/jdvAGA4diHchizwTLN6BAvZbP7+B/g3VxaudTf0A85/l3/9
8w9QG6OARCTEtsAP8WqNADqmSPv/4SlsL3/NH+9W6mwKB/QUHOG2SUjqn1/G5shdIjO97SCam2xt
FHPmvM/S4TqRhxumD1PlrFnLfi5rwj4pjAdtFREjjJo5nQPUK+x7EGOJW1+9Vo57P+7YR0y31pYo
lufE3MqUyDGTIah0J3teOaRZbkjQ+8qYO/39R/bX60MEAW5InpWuxT7JXMJt/3jJa1fnqvcaf0vH
QGBlj40ChwZidK82/sO38y8fG1uv5cFneRQwFmqUP79UoiMbVpsRbv3Cg+Mz58bBNzVBfU1V7Jw2
6lEVWuF/eFFKweXw/OPX5SFEMVF+LScrS7i/fl2j3Qm7tMZoSzPwTNxBvXVi+OVhNI1vjqqZq1tT
e4ORe8Qp/I4ZmXEozsgPMtnArpnJidqHtW0AUzfyHlvJAJp6d9nGy33RwTNuo/Q9stv3GtNsao71
KghIWISvyGwDIenKH6cj82B31fit+YilWa5VybQrnZN4tcytV6k5m7vGisR9UEO4oM8/S9sodv40
spuJmH85srz2CiDvguPjBrqxR8b+wpPODZ6WYJQH7X2gC/2sGJw9VLoE3CdE/IYFo38wVGbvcF3H
GzBHFgg9SDZY2zNkkF7F1IgQp/eZ3DOk2SkO5BCh9KddhM3eTejgEUg67vuU2sEuNMtnGF2PTQCu
pl6ljBKI1BXNVkQlSzsjLr/jliJIF+pss8PinmPOD+VhKgQzSUTkF5ep76M1eVFPJIrqtlbm8sxt
evurdfLgviz9dpdiDsG2maPQDC2oJnr0/HIT8ZT6Dphp3KbA51DyzehLvSch03rTqcWgXZHzS8eu
SJxqnMS9oqJWaz+d4bOaW9SxB9J09N4uMFl5CCig9Uwu9h07/DWPzhkt0rMa+i+YU+I1tet85+iq
3IbB8K1M1B0k23bX9t1wH2G9eVVZ5lyHvBHMnGVNStFcYMUNdbgKHXUtQ/06xX1wP+SgbDoJ6iPp
Y1zXAFq9tWUg2wDjPe0tXYjHbgggBbR8bX0TmAQlJfGvYECmycC7PaA4kNeWTIC3Ck7htzF19lXW
1ag2sil4rOtSMtosetQSMTgNTFqEjdHnzy9FrLurE839i7QxtSijmZ+NJJJ7HNb5xZAqPmjWk7ec
QuuCwzdZZ+yaN5YqfV7Zkxeslf02x5287d3A+jAicntZO4iL3Ui1Sfj2DjqDkJz0xY9mwJmfLe9w
ZOm4B/n1aEKK0vUzssnFGQmDNJrvI5z8uJ6z8Vhbef0ziqzkGTU7MgunTynAA2sTqNy6M/xCbzrG
8hsdwhGpWcNdfTUml1zVemPK2VrXc1P9Csx22hmDO9+VsgE1IoKvRIn3CvgD1FqrhjHV2On0zW/9
+uDiXyCiiTlz4kxMLtsE0faYAcRs4m+NbL8ha+mzVSes5kcBkuI1DnLvwKga/BJ4GGiAlb2m82HK
VjZiA/LKO2SNhDxs4IoR7ErWlulVr25TGfeo4t2NxHdwbvLqxgk7HYhqGpHwOt6W3xXvbX88R+3w
5Yj4VNQTG5ssJCOeGLlpnaUJv8GIk6cBPfN2IKRzB0IvWHg9+daqjeDJ6ecfbSDqW9GM3oPoORW4
B/HSOelwLErxqKXpXPuk5Dux+5pgaqA3dy7B0dxUhGEm4ch+KmQjZNfy7GcMZnMHF1k8Q4EBv5i8
dEQ682swxkxT8QZr1a5nwenIwJ8ET2CaK2El2Qe2lf7Mxme8pDoqrmKuR5BERrlFkNptkiLbo4t5
Zz/d7mJm/RvXKDBDmED1BtxBk1FmF8iBDiCuyf7JQLRfjYHKNipMzE2ax+rRNkrkTBGtHfb10n11
IgW3ymFNvYUnv7H8/MHozP4WR/MJ4826dxBw5tkzOqSKdyzzK6tZCwNgan+aeipucsio9AMGSvus
xQixajSAy6nxHhobrji+HX1Qk/NkQTwSFUaCvkcxiZtsX2nZb8PG/lEN6pQA4CrcnIGb6yHfHtz9
KD1Sowzzqc5J1Uum4b4SQ3Qee1KBV4LAvLdOlxYoOSCPOFnsegDmXkJiJeWU7lo3p84ChsRkGJF7
Hl96zZS7s0drnYyOttd+DXXeUE2/7uH1Yq5rK3fnAcBZ12N0R9lBdg0j1lPtGMOjga2KRQFkBcBP
8k54eARcT11ZbuH6K0LjI3Wb+kM3Zr63Ij99jarA3XaEVBDj1Thv/NQE8Pa5uFRM9PbwC/Q+8WTy
EQJKuFMBynLf48nZ2LPivpDhYUh7UONdRjuIW3vT4hM7SkcwrZ0F++yGrTp0Zux0isMbkuG1sX7l
CXME+O5z+xx0PiRdK5GPuMDmmxfnwUmSPXrytZ8toQTz1i266Fulw/mNONJF1FBYtylWal8Jl2dh
Ymd7t+nS7wE0FqDnpHeTKeEvpHLzmCZhTapqzOM2mR9NRs+bKXfiRyY73dbk3Z5HdpQn/GHiHDk4
B5NoMJ9tM0mvpJ87x6YdgzPCOnaNYRbfD/DbUNmHw0X52acsVfaciJI8Ljc2D1yiW9W3P4JSgMMo
qBdXfrOcLlgvrHxFRi8pZb43H1vX2TpGcyf7B7HQQ1qvehgL/HAxHptubUkv2hp9QDKf8upbp1Px
KVJVvqEjFRgM3dc5cgUxcfD5KkVSrhgH0Dud7vANuwhpDNcr77qcFIfQcZudy9B0Q9o2qc1Go54M
MbCsmZAoDKyARXLEMCB35gyJqLBUvdFuyYUfdY0hN1PluUeS2fURczFZQp3/GPDncYsZxrUKs+Je
p+rTa228B3njUAEXTfVUNf1lsTX7rfurCpq7ONfxo8hDb0M8EWSZMclILORzjv2URA8HIC7jqPs2
lox6I4iQTbQDkzJCwbJwMQ1sBx9Y4PUP6BriF1pMYgKqIrXwO1WsT/12aC7oOaNXv/GtW1l25sId
knfk3E/30zS1n61ITbYyKkmex4ofxjBd8eVMZgiJOKkwDKfZ1k74c1YUGJsGSBLeDIq+XSQyBxPp
5MwfhAL453JoYQajZKm2TehXN1n51ZGQ+uGrYLfb4/k05CmG9ozfAm71Cp6K9WJE1CRQxcNgUwue
1wPjH7g87FH2LKBdHpW9ip5dafV8+aBOV+1YxvtZOTg620h5hB7hQWG/ZhevtQintwZKZ7xp2qJr
WGAmUUTiipPgiquz8JIn+bCzc2PcODRDSFIiQ7yjpmCeJ6Pi3bN7f0+uCRTEHNb3ahzL8D7EtMMP
j7S1pJ6BZzpI8lRWhTL0w8R6i5KpaeWDnJP2PhuyG0uuH/igv6ErYcmSzEQcgm0/9L1+60EmrFuN
EwiQX3PoWaNsyWMmcXh53Jg2VNRV2Gi1jIhAPZSe2kh4w2fbaawdqNtk58P9vSsNH1VDU0bTEe0Q
DlMHcWYRLq4+4iAcNtGrdq6ykzGl8hU28KmPPmFA3oLRfm6C4cPCuY3B9rvI27fEdoG7x0Z5VYMZ
HFqz8tcuGTJsLYK82xR1Wm5q08JgXSOQvZSmbDbgA/ShLIzeYhRlUycForoPRdM9wa9Do1IHDoZQ
afeXvEpjIF6eEB8A8FCn8SP0bMlFfC3C6QmPlXPAd1y9T9okCbgZTefAaGn8IkC4e9LIEfbEZhrb
Skr/AJwyhv7HY++z77EvIwJGOuti1I4qR+65kwO1RsR+DeJsPAymFb9XdQcx1CKnwqvjamLreIfj
WGK/Y+CyssJUbYY2laDgq/HVbOB80asMmLnTWACKBs/4OZlpN+P09dJf/Jllj11q3IGzgYWeMiZx
EQ63xh0o2WxL/d9C3w+BC7qMWreNHZZnXGGGWKVe7e8AWftg6Exi3qF9OYS22wZwoDB4As5Ew+Az
NHxBvAA/o/PNEyOKet8gyeTm7kPc33jo3AiNSDYStlpWnx1Dx93kdOYH97CNpAfjeN4H+tEYTODH
eAgpg/umPuKsM+7NhDAVSApNfl+QbfzQUHxsoWtW+JKLek8sLBY0x7VOZRy8FIN5h1Gi/qH7ON2b
iUqeWK3XT1o4xrqX3XzFEwVduAy9awii8Dthm+ENao59b/tmtOKvjH8uR+F3/PzJUz+WCsqplWN1
zMhpIWEgfIGb2T37eZiHm75Lf3KwFBeMntPLaM5ptkkxMO4s1Vbf0eIo3kOSHxKW2YRcpPHF0rG6
DiDx7+pMOkcZ990ltQAS1oYdf0tlHz1IG1GAJKT8NMIbOpUUbN/KkKQicEJhsafmQTGiICVug3IC
pjMA8VmmDOkDk8HhNXeZDE4Gup8a7Fi48uqxvWIC9xmn6GY+VNRrJwKWva/RUmjKNNFeV4dL9aqC
bMbpZIy2fRQ+/XFS0E0e8oah7KoihWKnsqA6kGWafWsJ3n5XGfBLBHMsDla10iaa63jMXnooOhs7
mK2tWxpkU0COoLEJ4tI8q2RILoZnVltL1MTFE5S6MhwLU9KcNI88JjPSz3XhcJcoRE1zMAMGqzDy
kuuyDopAbJSEJqhV1V1yf7r6UeBz8Q+E5EjeggEJTVa/+E/XW49uQWmZz4GPTJWkzZHeKhA3I4lJ
Jm8QX7kRIoe1CuP2xcIshzmRiNwV/1v9BGs7bQe2lQ8WmDTaewoeUl2N4UMkEXB4FJkNq1q04Ou6
csf05iRJty+UQ7Fr6BnjY+0Camvi+cYbZYQumwlTMeL3PQ/1eT/5XnnIHcN0Xssoan9BDC5orZkc
Vne2W4J2pTEQ4ymcU89e6cjy500xY87eUEkbxoMpiDI+WXiDx+0kxFtfIsmUOnBuhXbCQ2qkMMvL
oe4CQI8qq7nbhQy29JnjQ4fzgKMAONFEcksaJjuInnLT1Zibha8DuZ3bZrbPjPfIg/Ag0W8RjhBl
hFXdOE6oXeGAh+0LWV8oCw3TW40KnXxrBNMvLUO0EvTe4x3OzvKHsCQ51xImxprIXY5/cxycMynI
+puNuPVXwhzoHsaJ8clbV+99NLYkNBGefMejkGOA7wYRzgxkt7mIIJ4vbe0Rhh70utgNYjDPTMNi
znN4eLCzHZI7VFTLhxRl8aUG2/2d1pJ20R9V8AN4c850nYP7m8I3RhCCM5KnlQRwoxERoHkcPfne
qrBegBDRGysl7quhSGn00vppYQmeo0bE+c4InB8FYHkUOMna7UgIkcwz96zl7/KcrBitGYGtKgKb
bliii+epn7qdY8r4RC6F9ZCLnPyGrOkREPVD1e5m4mGPc0nQmTTSptuWdo3IMfOGQ8bj6zXOgbpz
wuNt552AP2l0ln/UlEtLtE134FaNTyrorUfZZgYBFsAdA2wXBlm33USg+3qa5ghRqw+h0AXge59h
gnwb6YZ/2EItIEcdQ6Oevlpr+GpaA3wa6lAwcdbRsXw40EQp7Vy8qyivq/61kXF8F4QyPJNGlX4N
fgncVdfpfGGyxZOhpLBehIY+wcyuxRi0IYpBT9L4AgiJsond2q/WFmP7c3kJnK7eiBNkgssvth6E
sxwKckpr77HOnFemM7srzGTO2o14c/Uc0YLrV9EANlhj2P+RGhKyFnLl7mGK/Mch6cR9xxkseFvR
Ju0mMMCkEvenAZXesRndjojv+d3kb/EIcBAL/9rP9143E3bJEUGax6y/Bz1zuHgflu673wTjA8o5
563lrd/hkPFXzBe7IzsuQgGq0nnl6bQm/liR9xXN4mJgLVlTy6B7KvJgoyx9n1SlOoUeZNOoU/IT
TzzjthKLZiTpdQ2SDkjLGztIqWQvIWWBGxwYlji2lLTxSvKwGleo4sSqy+1p7zXa2Ndm+5sIU7dg
f2wJHc6odqbb+Mfat5GRcdJZTzJovJ+MMjKYLFmAuNTIULVb7a2MmuTRspkLomGGM+L1zn0U9esu
4zokU6SOYdURUM03TuKLtl2WrsHIFZuEp3oI30bD8V8TDUY/nxu5zgNtMZotp43g2XsH1tS5D4Ye
5CblyttgedkJCXe5pjiQW3saRqROql650H3upzHIEcSaxrwNMQHQA9FfXf2Zrhjp4HBqULv+jBvN
A7iImrUjWKMhIa9eSk/kz/jy9M0wYv+VfX1NS5RGxMa5Pcj4IDbrdeFllrMh/2kx7KQgE2VhPxFC
AVQC5OuaFghXuG7bnXTgHjRjQ5CgyoeKSCYuldBdwhdGask9j2nAb6lvgnrNRZRswsSNKbfm4TvH
KOZnz4ATtguxZesV6L2OnDs+FpK5lSx3ber3t84KzENBeQ9rj/HISNtlA5cNxWhc02LOLqquSZFV
JTEVdVPAEhDeeXLh6Y+5Ve0CpbONGFp6oLbwNk2Uycd0qh8B0Dsv1hStqsb+ntbeR4iLCeaKNwGT
8QZF3IsugQ023rqbi3sIIuKAh8C8Adl11mBqgzsybUicbvPnKglt0JtD8ktZtvXkN6773KMuPqaU
IFtDkbRGlDaHtDfexnI0D30h8svEk7Tqy2pxcMEtMHT8hGqu3Ldd4+3skikzA13nfqxcki88Eub6
tq5WLEPe+6AxT2ZcGPspKo+g4v1973IZZUn3CyO7/py1uXakMa37GZXYJMjyHth85SmZjKZdF1vV
VPmerBxmQ5Hf1VzhTkxWh06eu77fafaxjqr4jtl1bSE3/HTbUp/ikcBu7KINOR5IHTFEc5JWzJ/2
bgQ+pM5NQ61gogRbWzwo7B4r1MUS2qho+102+xIDB6tliZesOAUAWrQ0tmFWXRBM9+9lKD57Mt72
vTFZRwS9/O6g8K692azr1jvbujsYJCStUHq5p0ZBsKTgZXdQ7usku9awlX8kKPAWlGxCdHlJ/to0
zCcGYC95SPybNP01i4f1ki20ihFSHZ0mPcUVHryumYpPpyNTLHea71rHZ8yNSL/jtMbpZ9lxuWK3
b/M4MMROClogLdKjb88t6MpQlbAkKzZZlB4+uNEJroOmQSYcEoCWI6ptYJWkRy7tBMi16XuFBftU
DsQIOLVH095Pu5gzd2P6cT5s8CT+QGLsPkFeh/0eJ3bSrEbDxtI+Z92hmGfpMmupkzthoNzaO6VF
sNlgGfFHxC9wezYSDjq+mWeH3GN6LdTLMImHbc59K9f00lsdBDOi51AyygDWd40MN3oiYwpkQh/W
4R572HERJcaBsu+UsFMWmMM4zgdsRulH5Ec8Ff2MS6pJrTp7JioxY+WImD38iNOIgxibtI9QPDGi
k5fSn6zj3LPG9zDM8msYYxTDJhSgMoTJtRxwaXYuxKDXOp8mUi5tZqJeB9gr5nnoIfNezlPkmKu8
SW/ZOORPfedy2nJuAIvNINGvCJ5HSuqlnv8uCUb+mGtbfOb4WeDEhn25GgHArVr6urVdT8VOa+Tr
gZqt7kCGF2JRWIasdeKBbjGSqEsCo3ljUNxsM3tsWGF2/h3mMGb4BmkNbgdeXxcXz6wn+l/14GQ2
0SryIzGRfLPnehA83+O6enCM+NRmnfHkWiPiezLD4qugILnnikveCRhTdMRqNbaxeSb+7rMRU7+J
Z1sCtlAp26VZYZQAxFiG34d4uAk1vYFanjow/ZQZmSYncsLjFQcxguOqqS+QYGGYNFzoJXaJdSzs
RWRj9Tee3RVPyJwpWVbIcksbQKfaGS4s3UIP5ZdGvbluXKcFho9tGznhqvMjeiZ3MFGZeGylZNiO
TzBru5e4R2o9pQ5D6kKoS4aAAQ/7PQgUeCCTb22sIGFI0YKgeKNfKE0oIb4CVQMwZqid7ntqZW25
bqBfnXSHcH09APOn8E1ZCyuY60bZxxx5CcDQejVncXiYTavfmLQ6NudPicmgqMSTwrBCocX8NDUN
liMie2/B6MER5sRltjrdp7Vo4NVM+m326drKNassJhseF8uD15Rv42g511hbxK60nTN/x7mXH3qq
43s3BFs8K20x/GKtR0mkkcxmc2jeT4VhqpXv8zGgB4M9BCInenAYDf2kN6UL0RnhgwOsknXH58cn
aSS+tY2EVbzQwuHubeCTz/Z6LC3z5IYG+4J2yF9K7A9NL8edKMfXDpQMn2D8wgJ5L63APxTskra9
btq1Oc9NshENyVx1ZiDHZqXIuZK+dKCTUIxIOpOBC21VeGbzq9LpRSofr0c67327gS5a1FtiYHlk
M8hf6yBlAk8cNFzvYdOitOlXri3JMp1LrAE1ahhv44r0h93bQiJqlOOhpP98M4ErQU521VFktvqs
cuaxm8nmAhmB3KSrkjS5p0JY9rRWVgc6CXsywzXtn/0kKAnH8VpyexjWAZ9zY83P5SuA3F58TbAJ
dH5PZTHI9I7NCSsHuywgI4RFudC8arVyy1Hf9JRWUA2tsd3Y5NcdgtwswLGTWEe1kmVvGafiT5xQ
FohVy37y0F8zJ55kehLa5QgTPnCsnLXZYEc0crVtnLApSVomVbvHxh5ciGxizC8jdczdMEdxxwpN
umzTcBe1mD5rbnY0zhAVOz7ytWH3r3kLmS0IdLBNvQEETWCRIxbaR8/HibAaE7EXLRXUiqbUvqeD
I3u2YatI0JnS10p+tsSyftU5iR+N3xvnfKl4R22nN/R69cUJBxwsZZE9Zlp7B24l5zFkHPTqJra/
DUKcEcGgK/o90a1s3dokJdXT2s2wYS/xg2d0TsTN+QO1c6TGEyfuBBbMCXY9p/Tec3L2/jUByySj
RNa3gnHDXcQWaCPzMNkQs+ndeh2m94CwxE8goj5BIBqoFHSvydn0LoHRCUCudZH044YZkrMxE+x+
Eon5W5Mm4sni+rwm0uJSip2OuYOubyQftauaPRQyc6eFokmOUxkP7tFUJsmXVT6nmyAXJbkJMt9j
zu++qYizrjYdFvpjhbJtNZsZ77g0+gTsZUWQoIz9jmTpOvnpoqN9F2QiP8w2OWCsEyHgI1QEcenA
mPbDYY2vxeOTKmqSjJz5lJC1yzqiHvh2xloFH8ZovGM0/IoHmEoidB65oJjWM01akzqVPSaGtWRA
ZxiKNqOblNMl1Kyu94vvhIgrDs9kTYDocOCyVpSPDiPTsQySo7Ugn3xltvPyIBrMTR0WuE8MPlkk
Azo8k1YdHYRfNj/teCR8qbqR3ds9KKMEBm1O/hrM+tCsuzFDPpN0aXSNGRY9cXWl3/JKWm+j7RBg
5rfxlhC8eBfVkX4gqQxTp9/TX2IpY+1cWOYbqsvuJdc2g6mAKNBVpq3gmDREhyMbi7/CWAcbGRGp
FHp6flIhFCoA/uWOp0Wx9XyyeAlckvSj5mCzfrF+d8nYA5xKnWBlkY8egwARc2wdjS7sMEGnbEx0
Ecy71h30hUFLd9RJbnzkcey9Oi2FNt638tAaCYY1z0/2U5qlO6sjfsye+k8jJEYwHe3IwmlERMI6
sdJzpMfpkSuyoKR2m/faG7KfoLKZpSexfvLxzY04jXqGOjPrYxQMG6bGuKdB95MpIobnOY4wNbDc
CKa1OXTtkzWV7cXFtiouJmTJOwKS8MgIY+y3gl7roNKEDbrOzcfZSYiPMLzSOoRWUmwl9lp0UASx
+GHmP0eDY18SWVOIWD5Dm8IeuZ+59WTcssQMdEE+X4mExEBCpdv63qiNF78yvhyknc+lNNQNciJ5
pjVWG6raeli7afpqApuDcBr7z86UDzcD7/gmy64jo9ad7Wb9W1577aOwnOnNIIRimyFEOTl1Gqx7
P+rfOFbevLxw7mdjqQ/GMr84uWufqqIljjVOyse4w/8ViSH/BACHN3IE+dyUQ0qrYnI6ILA60Bum
OIuk3SVgbVzyHP1W7fFT6/cyVs1MqhTOwdIxqMdaCW2/oE4+ZamINxUw8YPCgrZpPV/jC+zttXIX
aUTVExvnxPJYSo+5j9ftG8fv7+RIdljiWdabCAsomwE/VblSRGheGbamp0GTgcfMNuNv9addLc38
iCPXeZS+ardliCGZMLPg1GOHIkzu18i8hoA/dKBwe/aU0SAMZ8dVK4yvUOrbrDooj6mxF8TvQZJ8
olL6Cpi2rmO22GlElp2PRE21XraXikQNL69XoQdQNm2KVTnnHH6zu0nK4Rw38Xn069ep59iZtL+Z
ChZDhjWb7I2TLbfsurdckKm+dSwGSaaIdUAxBIB7SLBGEg4lRpySgq1QB8qMRVYASZNcHkLrbeOg
TXVXOO4BTvzZVUy/Zzw0N0Zd7qENpmznduSls3FPaSb7Pvvuy7nZGX6c3Qd+mj/Z7L+eRUXHWOuU
UXhZW/v/0TVZ40DEIqygXfxhJIl7TwtsEi4R53tcSe3Lb3He/2vHyP9HDG/L43b+g0LxX5wgp4+m
Auydf/zRC/LPP/VPJ0jwDyFsRnih93+QPP+E9bj/wJUoTJR+pom+cIEt/W80B0Qemkr8SQE/AKp1
/tc/nSCW9Q/h21aI7Bdynm15wX/jBPmrBhZQGSx94TlIHL0A9NOfRY5eKwzpc6Jv0SgTFDQ/eFH+
ywooQnCzw1K9DnX+S7ksa//wKf0bp0bw29rwJ5mjFzBWwWNvsl7kvfzFWxAnuNQ8XfRbj5v2K3J9
si5d16VpFuT3HG1TY9RMfQg3K3/xb06/rZyMazR7JDI+XFIJJ+SnPVKkanGA1sFcn5jIYwtV6Uze
TBwL5rM8noNHt1BTu+q5F3eOiJBFNUhPtDf4d0bcAaJtQ/qianGjFosvFVbJwxgzePKwrGaLd5X5
1o4kBmtNR4C0RlW3eXG6dtgOQeSaVOETfeLUZDfntzV2mgbngvAJvyyGhovfGssMfPHTOkEGUjvg
9XBQt3tQQ+V1FvU2l9k5c7L2Ppd8FFOoLb2OJvK3qM8W++64OHnZkQ0/ncXd2/02+ra9FT9gEGvO
YvEBW+lMqIaXclLLxSeMlDRbOUUWv6aIEG6eGKYtUikyqVkoWux6rzOpgJtosR53v13IeeMau/m3
N9kZjOBhNNruVzTZeJerOsTHHGdd+NnJsWV2OnroCZrQfJl+u59je3FCR4spuiXMkGrendleFjbK
J3zh87gPzCA52Y5J7cpi6WwvVmuHeN/LlJbug5lqNrP2YsqG6+jjd8OonbZkTfVyqh6nmDCZtSYo
iGf+Yu9GZYnTWy6m79rtp/OwGMGZXcAPpZbbZYtNHE6EfFFVgHdcydaIN/5iKbcn4gRtuCRsTH57
ztlXh/VjbIP5wOpMXBTXAXjUzVCpcu22MuwwNffuAWsh3l/kK/q1LGx0Iyucp11Hy2J1E0PbYH7g
942KSVZlfQnDFwTVsvpAet2Fj4k3MrszByMW65717logrTz27YAeK6jqDE/UQBTsqsU2hpbVZ1lV
x1K8ipkBDhnVsxdtvKFioT51AcLnpmXwXvMoOEZl6zMcr4W87/uk+64qmwspV+Ybg+HkK+p8+ZNP
Jr21eRU++Lkg7U7NBfvy1O2TN57gMDlSoMw7myIajIBpDY/ILXgVbScW+qA8JLuULMzvqD7aO09n
3rSO3AGdeDpkqNoSx5q3aBftHeXi/GTX2rlVVpCrzWjZQL6zUiFj0eEw/USx6cWQLUd5HSIr/N4G
dfKtSfn0tm7Q1Cg6CrK8g5BCcujQfpFMSfIgzu3po6y79mVczMkrmyHvB+mPYFolNqqNZTVQwjxW
oSZNq7K+jDa1npJOlq/s76KrNzn+W9UvieUUvZGxsUcHGQ8+YJpmayDfvK9oU2oPVA4eWMT/BAZJ
rEqg0dtNC2rC2aXJEsfnNQXaY2/ybchgnqe3iYnvhTQhprYUqhb2Nobfs68HAoPzpLkxywNrHMZm
cdJ5Pv0v7s5kt3Jky7JfxIDRSBpJoEa3b9Rc9S5NCLnLRWPf00h+fa3r79XLDCRykEDmIGsWAYR7
SLcxHttn77Xt626HUyRjn0Tzcm4smrFnZBU7C7LXdLag6lC2nLKTpKvmlxBtSeWi5xSHpbEYSLGz
+TNDhvSPQ5nw+6jh6imp0yC9WEWuL7L3vWENixfP9QIb/yHB8vHKW8qKv1YFGkpQq23kqvYpxnyz
cWvXYAj1ioec+uHtUndKrWqIuj+cDuv6auIYejfCVR8c5ryjrJ4tuGu+jaeL+4aFW3eMqS2Opxre
g8W2fsHybWgF7Cd+Uost5xCrmVVgkIbW2h5LjoUxiqgAy6xlvDM9uLVctClSIrvsjmBJiJYmZCjf
k74j8RwPnocCbVsl13Wui7dpiFHFojSPSsEJMZJOUT/YRsjuPwyK7VcTL2wVCn29JiWk/BB0JHEp
LNh6gXcTtHN8tCNWdyvfcbI77kJCXyqBv2vLTOucqlHFet/lTh+eZqqDKYZj21/fttfi3w2ucOvT
RFSZrblytB1Y3DLadSU6GKKgzzbHgROyMfUSk5JxSstd88Fp0QkQBzCJVFYBMon04XWLO3tEGDyq
zeFKIoZOLY4iHEsFfyRYTiTS63Utg+iWT1L74eMou6VJ1wdN0hanET36vDD8WTznVH5QeuYJmpXD
/FYENodeHCTmjkRQUG6LjJN6KTPFiEyMvQFh6/pfFf3QTxOkSywvQqG4MnLj/Rr89nseRv3QQp/S
6wQP9xb8qqET11DX0bEgcLBLvpVVfDXJBVWyhs9RrGJ1ZUKrcjkXskQO9IfujOsS0yA/Oa1/6d1g
dLQayMbPq4VB6mccefmdGw0ddfPcDriDOAmYell7vjjQviOI2g9B9Am9ApFpUH0231RgWuClq1G/
YT8WvNEwGaginib4TbXN70Zl3/zDoUDimeO3vkwIFHtSYvN7xfP5Rsl4wuyUS1CDAwXSK7vD3biK
xZWxMKY+3YxysBt2/dR98DW0RPthBq+/4Ecc76Ipkhfhd9jwZmOtgyhZXjy+SL+4OUSsJdii76Yq
30tku5oiFDYUqxa/29eCtFivvabzPUpRuNFf3zT5kLjNAFmQPu5ByCy/adAm3r1B6+8liwq9tnWD
pmOzYOWFS/XSoluRXHSPy+Tizqtiuv9mLCWfPF2SBy5XeuLYwn414aRul3xT9TWG41XTZf69oAiy
WXNndycueiXOBstpXYTNAQqVk3d8Cbj2TJ2VfjYyjO6qsXrDGYJ+1JL00CksKBD3lKYxGDQLqizV
WudZu4o7u6MNrOJrrUABCWxX6wkfZsErAR9jbrdDbcFWLGTwq5G9cy61CrwVojOIgqgKuwN+D3Uz
uPY7EMPmJZsc92eQyTAndsPHDFJWh8/UlgwJLD39/jtQFjaWZvDB6VBrF4CWUnG0G0ZnnlHMwRls
NF1gfDud4VoyarDpceMsBhyfAZ3buCsmqzoPo+u+wRTnE1VgwWEQyum0dNG+6LoTAGTQA3lc8oC3
v9uMjSbndB7/SNqS1YcFaOxeJfgbN2Iuxq1OCLyu8B/YJDSmYj4lTWL9jJJ2CGjrcxMoG4Qm1rWX
9R9OgyMT8gelt7GlKrV2ujnFiOdwCoSyANRgY0t6olkVD2A81swmQB7Mi8lIsq5nbKodbQ0sDlZ8
BJD5szSd49vZEc6jKPMl2OVGmXyVLHnTYjLHo9Ur6X+R82G76LJxCrN80zZ1uHZ6W+3w1uo3M8F6
9qyFia2NtL3K8JitRnGF+VOXRltpSSRn1dvWr9mO63fhrcseYLtxLblKwyVYwTsodm6CRZOYEakF
6DHriUrT+yENWM0pT28K/LPkiOZNkUzlIQ69iWaFNHAf0tqytqagDlJ2LWSUMHJ55I7RZY481Dwf
rRRefvErXKT9xifR+TYJCLWWnhK+YbSxXPyhbW9SPRmSE2nuPy72nFRb0VORa812cSsHw+vHl+J1
cg3HVe4QmtkHXTq/AYPvnru2v7r4F5BUm0HFnQ0tpB6+0fWGXy6VbOwxg+7aFOJEgmwrt5tvJ8DD
C94df65bgxFdVdRHIw6DusI+eK2olXwK2eKaUm/sYTbficUOqF6a4sksHCqruozqYYMoyNovKmP2
hlHfT/IwuM4UbOZsmk8uH0SGXuAo3AN40gowwGzWXVQrHmNlk98VTPNQcZZ0FEevzdttbKvkqc4a
67GaAUstPnYDHJtLwIKP/JyRFLmC0yHK7DWDAeJWKmySeTTyvJ8TTGS+VuFzFY0L2JdoZhLkQZk3
hL2A2Wwqu6H4JGZpi1eybpiQLHfmpfXdCo9ZQRlgIjJy41ktziSHwGX1XQlxJfa6/G0egrDDJjvo
3xmQGL0CTchUVFoFI6KtgHevYiOrVwHN/dl0FGBLXIoHM8+waoh8lT9KbsZ0Yztt+pmyUhQ7rrHe
PdgsKrodqwRhhy/EPofxyHgYluGM2bgMAlhZJnI5HFxWGzyGq+YBy0s6rvuCjyFrUXw00MS55nRu
Ky7STxr7nAeU8e4ouxTPftk6LHXz3xTVThRRs3FBnLT9iGrbwkrjgwePj65b491V/cgIqXsTBqek
CMQparENcCx72bFPvfbSoY6x2clcHOSuxzVvnGhxSWBGHE0QY2+1qvQL7Ve0KMdUUHBL9h6whJ7t
gL4g01THQsrlbtIZllRVbHouX9vKMQg7br5PKnZT0o7lykh13/EFuAeWFeB36WtcwbjoK5/xo4WQ
pQkL9hnpcki3mDnSDQGpYYVxRZDhaZN92djlA2ai4lLQZ0tXDFMjXuu5jfjfzG5+U9F5tbVY2qxo
CGa4mFJ1D/2l26FUHwhl2OuU+TKmxuNSqla8irKQHQcsenvRdm8ljrh1n0j1OKogALqZzjuvnO6B
UE5mI71B4UGewiP7a8psDa7RkRMqFJuQ1ogzoB96ddskWLaizcs7XG7haRlxP62rKMRByeH9mzqF
fYND7hsXeHaJRxTBfizD98oag5PP9uwHuLH4K+ABuvZ5gYirV/wn7sC2sKbDjPDD2GbWZVGO76OK
1+zFRt3Vz0Xbi4NsIqx6JpxZ3VMuf86jEuQgPRcHX+nxBeky+4go6jCsKmbrexz8svtwMq5BDADJ
KHdlRP3Zvk0xKXOSymnTX0MZ4M/r/Muy+/ZmJmRCn4sOeYClkw33x67nzOxyYHE0CQXhA8CQIN0B
NBx2g2dG7jiiZssysOiPuGYyKWyy6zMT22hC0VpN4ASTk2OyDTNSd6r/HDs9P9p7r1wWWiQrI7GZ
JosPBYWdi3fwCq4JxPwdfNqy6lg/1v6A9cApbfXRY9f7XXuJjDauDLN5E3RBeAzHcAoPxMi6eI09
mCHaOLn6HcRsNRKUnHNnOnMHRmLBdSA0g+lgp5i4CpcUqhs3CSZmtzr0g+M8AhgbISYHgiMxCnBK
xHj5iFTWHfun5A+MK0HIBsz1B9KlRiluhrZmI/8H4tX/AXpV1tT/Qs4O+v3/iPJ5m/xqiax/9//n
qqn+qhBpE/SKP2jdf/u3/0X6qHvtOvh3yt9/0EdvPzWknE737d8U0n/+uX/Bi8ECI3bC6MTp6AcE
1P+pkMq/oIuijhK/RqDkAvIvhVTKv9jNCk4EwsshMiB/6P8ppN5fiqsSBHtHAg60aTD9L8CLwTVd
pci/SZVu4LpMbKxSET7g+vxdJJWAN6ZeWtN27ms5HnAKJ5tpZJW5WjQIlqxn6dQXfuhsJspSrw7w
62PH/vMEsmDkYdpIA25lLIx/FLDOw7uRk4X/ouxIEDbKvo4cztGfSHYQur4+C/M/z8XIwvPx4FGV
9maxx4+fiDqZ6gE4Yd5t2Kf13CJdenZoalGR3FD+3rb4yWrqJnp677mIjUxhq7CQPM//MVLOSDnY
Lr0yvpR9bH/baeVu00lJLvHZEB6pb7EeJfX28o6WqLHY2Nq4Hpdou8nuTVubG3xgjCHedSKxy9ac
+h5xe9N61RjdRX+GGJIkIntkdv+BU5h2aLzTTECNL7mjmUjRKJRoUIrEed30BpuF3a3hmjNWSW7H
1DKOnUvpSZwyUQUWWMD2z1Q2S7JDZMjTJL3vHIGwhtr0oprOucFePsc7wodjfiDcarJTO9UDxqK4
g5ym/Kvtbe7CnL3ldc6UPeTHdS3cgTGUgbS/jqbmOqT6OcAJuw30A41OeKSZc722Z+LtpqyiECIs
cO6GputX1aACPJN58sbfhoI8xu0l8qygOnp5zdQNDY4JnFnGfSQHusS35Z8ZXeWDG66QH5ndSzLs
086QUcZmBhVguXV7H5pd7HOZWwvintahRcJ+YxVnhj0MsYg0dzvN4RpkMzeOwEjvUk6TjceUkrfy
JhA98uEYEvNfVWNtH1Aduct0SMfhUbiZrs9cSriEBAo8zZZUTXmQuL/7je2Q7tzGi+Sf+z8XqM7R
SbSbs2zMjwK76bzVRUhYTvuERjmd6+m509rKD5gH3J/k/pqXQldcluO2/aq6yJ4IqFDovBJ/Ln9j
y0yLka4K8UyIgRqgrgfHT2NtuwYMBQ6GMiN1SlPh/KxDe5gOeA8CeMKUYKGbhMjC67mNq5NjegD0
Sd1mVL4lCBSJf/FRNV66bpjKdR/h3Y8HW58CYxDSO7uo36ihsx8ZN7sPopjqHHrZYaT7E2ca/2v5
FIG710RMk14+Jy28pZUt2BlTrlXPT0npLF+FLpbb0ROtWedDpe37lp0tKkOVyWuN3FKPbPDi4jZM
Qwwhk1uhklGOXbz31tLcs0AW9KeFNdVZkQgznJue4z43s66py5PkyLBAB06/JQDs3UA60d6mjrEl
khaxYvs8OJwJqy4uXMg/9oAEpqsZf29aJB99WAFc8meXTzstlgsRzFkS1sPEh59IRK/WkkcAj/GQ
F1NVfuW1heO91ckujtzpLbz2HjZdGvh7u2mL9zmP+d7geejvUZPbtesW1bkU+fjcEYbWyOI5ZwHh
sFPius4FjZGJzw2d9DCMFVjmxAZjl+IiKA6NaNwXu8g6GJjmmmaTOtwSKcqjh2xKyKr4UHSjfQgo
e8f9XP/EOE+YI8UNRMEArjE+HnnznCjhHJkQ6Cpw85KGTlR0h5yVryic8nR7ctqFWDi30+WVbUj5
q8E4CSI7d6Z4T+yCateCWwZDrxmJfcXmTjeVdYxciRgxxlVunmpDgHitGcLZ9TI+dGinBX2lCmvR
aVR1Puyn2QHx0y3wsMBPuhDPl4jP6toThJZGbLL3oEErrAdc5u048suXIO0ssTETXxQsaIyrkVV5
NEPyGAx+FdbsrHIO/b3XGj6e+o1OHfETNKK9DWSVomdkLdRvDbigQ+fgCCdFWKHOijVRhObAbgQB
rYNuw7Gfxf2pgRRQPlfT4FBOAVhjO7pN9FjMFhr3nF1FYmn8EdSNnZhtjqfogSZxn45MQfXlKvA9
1zq7i0w/1RhV4yFOxJDdug4M4CDmyFljLS+2tUyEWi1DO1zgXcTPXEXKfDPGk92vOof+v43tUcyH
zRsfPuSy0LyEcDsXzis7iVYdr3yCvOyqh3xqLGpdZ8IC1MWSaAKCfIWtSk/Xj0lDieeaswE1kMFX
Eddm3scvErAx4qVI1LbkNAvXtp9M56xPxIEP82Ihh7M5nKaqTvAlhkhKkphJtOsbLzyUZDC+1BQ2
byUO5Adr7FnHT02y/MpI+JOfhMWCHJUOQbXhf0HnK3Sj5WiXbpYdOtJzGKWSuZnXBEili0vs+iKA
syTpkxXppcuWmQGhdZxPzOtXMRI0/fOMXHBbidq4G5VNUFbcDG0K0xeizejHxd0Ek/3RCfT4amYu
LlBxQ2cnLPadaSECdhAB66HbLFzm53ERQUu2gTs+TGV0mwOp3eC3b9z5APnLvoswqF3zdSC1sAFk
bKFKaLQVpjKQAXYy6egeL/I0H1ycgOFlRj8llGZ8fYsEGL4rb/YeAFudGydNppXfF48DcbyznS69
3kRc8vYOh9wmikfrkCZc/9HPfqZ1Pq6TmjNTii5zPrwWLRbNYwne+mQg/1KPNPW6U/WJ1G9TYg/z
7SgmbJ6cMdf7T5w+zThd1rkZUjDPbZGuaThNHq2m9OHw+ULuRwfhpYiV3uSsd8jIxFfTBtxm5CV2
QSuXjPHaB1aLmhgtJ6tZonYlYm6Ubo7S/qHtPr5RI4BzVYFKmAoxsDckBrrStWGni0uUQpW4MsGK
nXW/73VszpY2sbsWRHa2UN1mH/RL4t+NcEl+IYDEX65R+l1387Nl82CFDhODNfBHzO3JRE1zoZVY
GD18EKotZ9HVl7LI8Ug8Q/1sLF2LvV3m0jqNaXq03dnbgyUPHgD7YxLJEvv5WvvwAbCiwziYNuM3
cLvSMBtkdBqqHpAuYqyxkO3kQsnrHOANFrapbC7L2URvZxx+GbdMxteKrUiyV5VdfTWeI9oHE0lo
cjK1/fDkFqgtN0lo8zLGcTjMMKyj+suJMTIz3kg9HiP0UMXTOYPslNtVEZ7K0hmfGhFwT4Q/i4wV
dpVzhAlSLI9O2zyO2PSqk9c245UFZegfhZlAtmHRt6ioySHx5o7m+anFFaR5ZPV5X6BKuHqicbqJ
+JowiPeXZGn1sQhirGSplRyi0Dj3wnU1O7PeVJAf2AwTgsu3IRxznuXMIF8YoacXr/Q1XHgjN1R8
AmazquDVsspoRjwTQX8MKBQqPwkrhBRZMBo9E2d1v2g4JvUeg0O5H8KueR0mhOwUid8+Odmc33QS
j+46b2L7TQrXfsU2Z911vUd2Kh9jJDE6q4u9R6Yx3wpJrGuaawBZDhj2Xzwg8w2PrOBPrbTz1kfd
p2ybiKK9Mc8XLEBZTZlx07zZiUe60w61T51uNDBwWMlcvtJLED8bSNcYXBXoRMG8+AQzdgLoA61X
/liM26zDZsnNr94lq+xaLqdxlGwJm8yf2BEVsRL9lGYSC590OPn7CRLpqcETog4Ct/Ryk7FjgHqd
l0N6l1Q43jahsYi8Wi7L14NkLbjs+KfC58zzR70WdhnEu6QZ6l3nN850HrhZP3dEgr11ImP5lKSZ
nWyky6Ncz1n92M5dTC61XvDMouGCF7qaw0sKzC9JAOE27Bw6E2g62UmLqSDJ3d+uUohF9VV4022Q
khNL2T68FU2NWZQtYaRXsHSulUSOsG9rpxkurplQU2kQnYYh2TZKTydRhKQYherWY0eIaTCgRoaO
9cpa5z7WOUd73l0zhf2jgb+4j6VMftS8tvjpr4k3R5VZRdg0tBQNexj3tgJKKEm40bLedY9keCJW
gRlhcAr/xTijEhsSKjZ93O3IBjcPfCKoPGjvYvd6Oav8DqNZF5KxT+YpyndVEqa8hd7y7iTafEh+
CrVJjRYAFni9643r1JDZnXb6oMeKXQ410e59otlgM+BywqYLdcXEhvQpcqqJUpVm3ikimUcoXUty
wN3g3nJpCKJTk9byZ1rVzia3uc5sGDKQXzTtWqjYBDk+Jnn1wZBadSXvYrQt8gZZJeQd63FLOFm6
5ctsk35YsvEnX19102U5e19tC57u+K7jQ6R1Xm9Gne+MIE5IHbdX3EvBMLSNGpHYpy7UkaJLoxOk
VRIr5VbF9UatueQu+9DN5IfX8wBbL/3A/RUxzL0uYHOVcVEK1fwCvRlnnNU7YboDr6W/xqb1oC0M
9nsxlaBctNcesppjfpFomCvvjwORBq9tW2JsKjwYBCvQDk25nlkRQbSQqvtwLWL3sT96e0UFxyui
Yh4Q66h1totSQk1UfFTdqakk0lgXXivooyvdln03PqPBUEOOGz1mrvE0+mVQByHlHn0SfiU4RZ8c
ACA6DDEWeqliZ1Oysy/qxd8h74o9/vfghGnQIE435bGGDXHxx0Zs6lbRnMSzOc+3czLAr4kMInc7
kJROyqT7RbJX9btQhn178PsSm72t+6+6X8Z7/EgVWy0pyBB4FAHzkJ5m8en2RmywLNvfyM/LI5Yq
Yluw1W7wgii2MBicCx2Z22okPuaDLF3l+JJnKHDjIXPVr25g4MlU7LPhKPHyaG5JshH7LqXByIzK
eaMbHu4LU4QskBsHlXxB2S6OHbhQklIBr3fKhIxT6o7kfH0qvI4faKzqS8BjeJf0bfzBTAEtgMNP
PbnZJ+Wu3hZ3k8egX4KEAey0td3KO2alqJ/IUYt9G7CH4eDcVFXn7O2k9L8GjBq0MLXu0amzw1IG
rAHVkKUbeO3lLi1a56mF0wKwJxA/w9Ytz+iG5hPdEB0zylhjhP0spkOODTfeckiaX8ugBmJVmd3g
OfCCK6uGoauR/O7r0VjNp5epgB4E1XiQK532QG7J3mYIx/v0mr+o2b/yMamziwmc+U6h/dNGCj/o
xmAZCxFl++X3nHZZimBUsi12i+B59pS6mWWdrhUEJe7EOUJxnYmNZJL/nVtTu297iGg8TIjtYAoj
pewNt53iEO1VWqXrGmZ/tC+qEEKvPe+bnAZiwnr0QaAFoyGTVHxh3G0w0BCPW1N/zJ2Dvd2m6bzs
OyAixlapWh7ZPi3vsCPUY1lhvVsJDZunkS6JilIAHEk8jkuUm71X5UdDmfle57a6HzLX5heaAtz7
XlUy7FiFu3MGxGms/t7NmHM/HXy3+WEISUJAZuEq6MF8zEO3PzQ07zzkgsXNJGhZWWdl9qPJHfEj
EkVNy1Pb3iFlQ2EoZ0nQ7yqfdWZTl+BpmGi8C4w1hd87SU61gHHozMPBmfw7ljdm7Ta+e549aTNI
hQvrBqe5lhx73JGB8rekkrYjD2OoVYLxTsXFDQdVuuUrE7yVNGER4mqbZl061CWwb3nGIxWOYBXH
6VkpEHxULSFmN+Hg3QdQkTEZpGq+Nblltpy4gK0caJJzHzcnAoy1PE92WkOn9ypWu7p7t9JAPHuq
AUkyNbSDL2PItBdnzlszpWLvF5ngXV3EoVa8/20Z91u/w/B3aibDGGI0tADgo8w5S+b/nMr8EzND
sp4qG70AuNfvcfajPedD9dgsxjAORdZd7jRYsSLz1qc8WAe4xBgGMb/vvckbEdinR13l/l0NRRHi
JNcBQpSa680qMl5yxhVXHn3RBr9F71ysiLG7Y4/AQBbNF0XN+3ay+nltd4Akr8JJyhJ+r6e0P6pp
QZuaq0W9Kll47+AD1gA9eJLElHf5TV/vZ+4b7JoYbLFhePPPhTaSFzxV4tu0g8V9IPQuw5LsU+Ut
/V1tsSW51SPhHf4ufSiW/FdDrKnbWk43HRi9528dpMUl6zx5wHfRbFtRAE8R2TVYPWODDXooNiBv
NZPU4sWScRhaMbt2eNI4SMzwIJyCXa9X2jz0/uGS/e82VP9/t1awFesq1H3cyP95LeKJzUKmP8uv
v1uv//Un/7lc8P9C43GJM+GYxqIWQBT+x3IhcGhR5b7gOpSi/vteROn9JQP4qCHVwAFqv4fe/8/V
grT/Cn0pQ6xzrCo4df9LqwXfvm4O/rZZ4MEP9CsQ/HXu1YX9982CKEQaR9a87AvbRQilSA1/vx0S
yYVk5w3E67xIvXW4oHIsOirpt3WXYcOIkUJtOjKkW7JSbsYnI0yIUdqjF6XnznsbTEO/s43uHyvo
PEDaK4rtvQLeZz3nyUFDWDzzAxUbFmzmYEL8jrezF5jpRlWiPdekYBMojUMMIFShBF9v3r4GUOBj
/KVULH/kIosCtRTzPJM8XRy5nRpyhfvK1zgGqhS/A0lgb0igZ6XBQYSgBQ/ZGKWP4+A1BwhNPqbN
qfzhga9nUxnZwxe/nA1gocM7rGJnePZBU7E1tSJspkQuo73xah/HEr4Wwl3wKGA7qjEGpdP4jA3c
gSpikFFyl/T21Temm6sN3K8XYElZ5FwPqInqrDTIIv+QsvERBxcsULmNWjfxrxFgXK1Q1ayPaohC
ZjQYjDdVVOGFoq+eG6Bgcd5WlZ+cJzBKyybI575cF47fcjFoYdQiu+PGik01vOcyM9dCrr76LRfL
+daYxyy6J+uaoFMyA4MAY7TqPe6aJBNDdCGvnrKDbUlzsRZrfEgdvC7XjXLKcaNjxr/GWD+6xp2t
DXFwckdu06mLJb2o5pIV09q2dCMONgS8/Llycq7fohc9Ku5CT9L6SmX9VrUI0WcsO39f/N7BLmU1
WB8if8F8kLSJg+LWEp1OfbY/cLWs8GyDk9vZdTluZNs1l3q26ose2/bg9FXzqHlCcXVKSA+m8FXN
JsfuvyXxV3+Krp/uxJg6wxrhTK6r2s9OVtvLLYUQXCmmGmNtEow0YBI92PduU+0qz553Os6AoM4Q
WPHeh6hvWfc61VXyBt63Rh1Y8K7gJQ9+FFG/PNnVNF3KWKGu9RPdKnZo7lOsx9s8g+VI0Du7HWDT
7Qb+rr2fE9mPbBLoXXetZnHx1sYdP5JZKOyaycTfWgOuzSpqo5Nt99VBFjrclVwB9x7Tx2uLugq2
xHlRjktXk8JIQnpg1YxnDLl88tEO51VrTPYYjgTmE81vagYRbLjhducmalGC+2R+qWOmOzUM08np
oYlq7MJrKp9whCnKGtd2wRp+lckovtjs7x8cOeIFom7uns+6s4eRy61Qs8f7DvBmPOBzlZt08Oyn
JTbLq4UWccj9Ky7ApI0/rhwG3tdcl/LNhcf1mpEN/h50m776oFcAuw8HlxTofSqihMd11qvLLIvm
vYEx9kA9k/1pQuy6THp++CSTgWS5znFJpsXgsV/kTEF7I72whbWzbGJHyU+zpP28qq3OfZGyie/x
imeb1ozFzylO/fugddRHqq2OtZJHvxuFJCNCqB8d5hocT4Jt8MvvopAJqRESVAOGsfvUx3izCkVa
f0usOa/XD8Kzww7pW/vG1CzERP6yUPP3MBfTxa8Sa1xNui/ate/Zht8Tqgd55MB+d+hVtuBvTCU3
4DyP7ui/GE646bJHyrDi3wXzDJvDcZrfsrDMkbc5mg+OyrhBpE7kfGdMw6wFoSfjhM4kgOawtCUN
igkm5tyLH9siLj9V6/LtB3YFcSKo84sgVyzJ45fY6+xguvG4zNvreLly4uqe9Cb+6hUz2LSVAcYf
AjLsdtu52cWuFD1bD7c9LcIjAYnFS9mbkr5H2BKBx9BKZ+YlsJ0cO0zGl6TmaoHHtZfdYyxz8N/V
hGUM3lH3lKZACpQCQoAHR50dlUePce6673iUshNE7ujDMt2TqIvpJo0H1i21mNMHAMJZcagM4IKx
WyRmJicejhneWlh91iyPXKWcG5UF/W3eZBrWIR2YQKCm8C6kGhiD4GINvBC5uzwY1cXmIJO+f4pE
kj9rgLwfMmUqHsfYx+OkBan/1LBmCtUNpv3ilGRDQXfvQN6dgY+G1XKeWeNN3ilLW6vlSzaWOPqE
odKx73pl7QLMlxQXqrC55avArhgx9SFuUtKtuLNOcxgVn1PXhJ9W7gz7JgSdikPFab/svvex8Cby
ebSTYLu4NLQEjQ5IAbb1L3CR5hOb0oLj3fF67iNWRuZ2GU17UEiJOOL6nO2gXX5HXdVmq+u0cRhQ
K3ZIjNbMJaPzjn00VTepyZxd1Vxf0RnlB+qVV+168D5HrcfswfJdS61bERQ1qnLG8zZA7LsLNcfL
qrE9xm9tRvNpEWiAlkno/1H38/DtjBCX7m1qSTM+d26Ga7Dwy9uI7rtdOUAOaYs55cnedu1DWflF
uO4w4K7gnfjuOut41JVQynh4jSq767op3vm6qE4a8x5qO9iML78wtIWRmTfELB0nYac6m3An5She
lJ8nrzyzs2RNqqMHuRRW4wcoOe+c50G9D5UXvoQaRo/tt1S+wVyLS2qDh2uEP1owPlHb+IxfFUxl
03fpmdiDcM+ajp43EqFq2kxee0wIKYAB6MrqNHamOUNQkI+TCOTJ5TKyizpB0iAgWL2AibwsZccL
EnLoriy/79+8sKEtIxiXN2Fatc97NJduCXLYHEH5iLPMvfFbR3IbUZ1662Wrh1VvHMYhL3a96Ji2
tbpNtE7u8qjJ3irMd7cMbI27j5pywJWM2+AmxOj4Hi7IIFOifgg35/7CGmhDeQgf59hdNmFbu89g
fLKjVkXOohCZzwVN0fkvKQHkcltDq9xr0u3vZSzMK1EqH4YgRPNzqO2QbupFiBXB74k9fq5P8NuG
4zxbwHx6GLpRZO1YwtBZZ6Up0OXEjB+znBuCdeg469zxs/cAMHkPq8UJDm0kgjtux1puGluMvyOv
C7eE1tYtg9FW1AlGeaf7LJM6OBjkv9XQZ97Z7oNnd47AJYTjk+2P9VtLrms/ui37HX8MOLFSVud7
TA9Ymqs8zlGLRsEFVpBtw196SIyFt4uqmeRRXhNCp8HC9rCuYBDEmLel+4Nd0fyzhm+TcD1MuG+a
PORUT4uoGw5Lhwq8xmeFkyAmvLzmbYZyAtAGHC0euvek+b/sncly5EyWnV+lTXuUAXDAASwkM0UA
MXMmg2RuYMxMpmOeBweeXl/U0FbVZpK6N1ppV3/lwGQmwnH93HO+I6nvdAPWXYvN65O+WtvarsmY
PwKC5JMaEMgJ68UwHlnHvRam8h5V6sSvqZkhw9eC7caIXzjELAN7qjFrA7Nbab4OeSYOWbHw6iUH
sYNo72yLdBKvs3PEu5PtVhyLZHzdu740zQvoVAd/M1K2DnD6eFVSHgGJVFt8k+qx94cmNKR175Wp
dS8ZlTdtZ85PMUvTS74W1i6HDplsB4t3LOQcG9ag185eyMLW3rGqy+4trbuLggCZR5TouuWhZDV8
160Mi5uO68zVBRYDZpFeIhHaS2XIM9CW4TqqTvqh0I66kubGZQNL6rlhgZKFAteg2FltVQBWNoBU
bNBJeDq7NbjHkJs8ot9Aq3PVsggOMb2e/G5qP3ppyTdAUMtFFh5yslNN8ooZx33isLPQF1sz+eQD
bO5YsFSM0AaWUj4z1Yu3anXX5G7HiTrUrCDWxj/ZfON/AjmVAFcolwLOzbx5rGANp1BwbsZixwNH
c6Awz6abQ/Tc9YtGVJyai2WEY+/GuJULG6VmNUv+lQal4OyNvZdGHi2zNuwnx/gCUN2/YNRZb/Wa
qxE25IIeVq8YP2tPYt5goVXdQbcm5M6CaguEkBFnAbTz4JO++ezxNQxRwnK9fECUNrG/tyBoQjdx
AHcERkyCwpo0Vn0TN6Q46AYJk09EUB7iyQ7eY2/kojN5MdVlucejur0VstZgVBwCbk21YGOSq/Xe
94aj9oM0fbiZ8wx/31bpG5T9cnkq624Zdw6urj9956h636CeLbvYpI5zg/dOAQ1WPBwPg3C4chRF
jUXHT6yVl14RzLyrlmc+M5iSBaWitL6Av+o4/Um40iYK+OysfeG8cyy5z5LuJko14uBcTcvwohdK
fpmm1vd5VR76YZISul3rbNh2icmWiyOJ2P7/d15WQzos/5eWQmr1HMpv/vfyyPMXVQYD+sg/yyN/
/1X/nky3PekF/6SA/E0ZkcFfnFtZkHRxO8qb+fHfbZfCpIcQ/YOlIPrM39oL/6GNiL+gpmCroMfX
9LFRuv8V26V/Kzv8F22EdHjgYYZBh/EEyuh/aA/ENaGNyhj6nUlrX7E3Yt3Hd2CrUBT6oJZg3RXm
vv5mxNwHWca7pZX2SsefkZf3fRdAYy5t5cP7ZMaaqdC4yDZgJikXIP1bDy8j59zswnrKxtIeL0Gp
dwB+YabnrTcPe7wcaAjThJeGJLlB+wSvhDs2sngsU0rZjknQN6SaxrJs9pJUxidvehzrltDsuYgV
1CTxaqjrfNpjdSE9I3+KtoUN5wXzXk+B/7jmADNbYsgRi6AcsRrMZtOO+fNkN+0vLMwGW2pdlG9m
EcufJbjTD3tU5KUWe8zYHsFmTLga9Or3ZHrZe+EDotpwXSLo2cxeThnbVOqX3jRHnPpuZ19Mrx0/
QdHF5E8W/Yn8pWeEFLO5T5eem2lZWRlWoWpgJQgrmixMMRhiDWWm2oKMA24a+pBvVBQF0/uh7HCF
bhZrDD6b2hLqy6wY5jYpr9I8mhmKsXA5qPPSsdxPlFTKS4Y5AdHn0AZx6nvBxYoI47iGBqq5OPvT
0nMxr8gM0LhSIVwM1fg+jkNGKcgw9HwDeeE0GyDZ5a7NquynGMb8smZOQy915/xOLEu/obVzUI5L
vFabWbfVqcEyQ4tXM5N+h298Lfuq2E+rT+SqdEfOxWpp8cyYpHGuyaiGa9s2OasPYEkBFkWnfrak
ytqIP4G+TvNQPFZNmzzlVp91u3gZgkOSDv1emFp9ZEpz18THlHpc+asRspLvjev7iGuxO0lrtgzI
edqwEF6Azx8MZ8q+3H4iGxLUuRJny2PZvXE7kyrzxZqMDZMDW952gvGM8X2hWcDBD7Jt6n6IN8Pi
sbcNFr+/jvLGYBmB+X8yO/qXLA2CfEM/cUwN7RCXDQ/sYsfc7uUc0GGEsXE/87po9/GciSYa2lLl
IbPNtHcIRV/60rGfiGX6b3nWu3jYEr6qUfWwTYOpXB/jbBDFM20W9Qa/hDgwZYlHi8XIWU9m0u0L
bADEeYBJfGKTys+eB6cX+jyYVtZ1XmhVpW/sulEMpzReIEGb+hbjwpQaBVUtPwOqo30ieTiPGQUN
1YTNNAYziEy72MnW7o6+0EO2q5nNd2Zt0kAwo7MtBGsH9YyXDcdWm2TBBzfC9j1jCf9TTr5z9uYJ
eyzYOR9iDlWbTu2/jxO7XgY9BLtlsJwvz8V2+KB4f0r23zMIokAX40NbrdSh5ePonDrmWwJVBYLm
TnTN+OHWSf8zyRRdVYW3+AXAGw24xc7XURxgxi3EjqXJV47NidhEDFw3ObeNmoHTQUwlKwT7caKR
OSBvqynIMaM0F/2NjtOgzZLgsEK7sbthG/gWroc69vmYJ+awYC3HVIovigf2q3aMFKtVY8QHO0iK
30s7WpArlLhUfMLpdWeh8ouVcn2PNcndaxOUQYL8y/YqFs4v3vAZvZSedIhtybS7VyN3N2NFocrg
WG/Z8QcXsGjqjSeKdWQZ8FRW3VrveJksn/m4FPctKY2ZW2vreJs2V/betYYqYAE3/co6R9Mf198a
FhbsoonmOjRm1tify8Ga5AXoxvrCYeOWr3ROxF9+Zvj3eJkqvoDXdqee0NRHiol93BCP9nCiFKXx
3uIvv4dGZ/4hXQyfzc+aceXu2BZANzx1McGn/h5Ei0Set6nNtp0SHv/qaCODCges3NiNZDG9G4uR
jxmGd9J9Q4Wofdd5C+DpuHZffQoeASTOI8DxkU+Kg4AIBjarkzOdMT8QcsoDYG57M9jN+FXosQGr
PzlbuwchyeYMmiTHWUnCB0FuO+crS/kbyeCWvAK3HmgBEw7i1mOQGzYduesy4T4c3KNXtOsHisLY
UKU0+5HVQBjnsjY46YsJQdbl58bpFS2YYNiY+MUuYOGBMGPDL2XB33AcwfX9jUboPUDXEj8M7luP
MCvqnWj1eC2U9tPHEqGMA8VWriQaPlc/ILXrA1YpLbbj3GCeHCV+zLSr/QhXcwB7bipm75Xa9umP
9lK7DOEetzgAHa/bDH3fJdsY+WjrGGAbtqmO3QlEhVdGeMtwEbvT4reRu8aPY4e3MQJnrKbQHzxO
LcewWHuwfuHFncfYk0xzZ5cI104Qzy954Omzbdj2gXA3jVzlzbJs+ROVV757ivNh/OyXfqZ9oqwB
FeBhRjW8fQ6NjU/m+eJOnYAOL5/HgiSmkO17rYA5xermLs5AydepG59TPBYVSWjnt04y86iSwGd5
jaNrmJoldJb0R84gt4lb79vV6U/4tgaug4KEXKxKmCXgJzLuRdp5H/KUhWrdcBJv0FBQWoCzz+Lo
SDcX2wWaQHOcnRhjm2vUtbMVhnQnVq6LaFmPFyPiYOd3qAiJ/5vMItws2xqsa9L4xsptdEjdw5wX
vr5feXx+xyApIL1PjDpOUnBjMpG9cJUTq1uRTg+5yozIhlPKs1JMZ5Dtfkgmx+vDQqTZsR4KM0po
FX/OXShk9EHhXGPr/Kv0U/uPn8bDZ+FD+tPr0v80WlHDJpdOGs5mBksQbUTee4SZN1UAAiXKiUEQ
AUBXxMCQ1Ybx5iQpfVrxPKX11s/HtgrtNgUh1/qwLKKSB0aFZZMlSwQMXoDa7pQ+Nqkh7ls8aum2
0IAHItLyhPa8JM+OwSr6b7+lvbCUBbqYg9B6LEuk2S0nwoS/BlXoYYVAyrqq6oK7eYXobg42i6vB
GpOfZdML3IqdwX4IqPrPxh4oNsNYv/wwbW/IwsXBaLQdDR8H1Mjt0NtX0ipv9MiRORTkAfu7xeVy
B6o3uyM+YnPzy8XNE6uhhpcdCFa7xs1b42W7MkSt6SanmftX3y7dxwh950QDmk/GHrIhEuSS63vV
BfiDKDVExkKjh5PXCyt7GD3WzBsh3SFspJGsoZUPnaTODHeNi6SMD4nDbjfP3e3tt3ptwWvV5OvZ
BQkGt+BjuqWizccChaFpDtb6KvCmeFvXT+ujb3jeRza3Y3Zgnd0+TXiB8A8ru4NfmvJbXtLaW9IH
TGXqTmc9xV4C58uXi8T6ZDelfI77DoEqtuXQQWteMVSWo81zgh2b71mw4NxNfRZ2/gxcZ0ggFBsM
pk+uogOCEhesfqTOgXByjLtX0Dw3jbVOlgZHRZW3kZ/AG3lXboaq3pW4hPNh4bhQpIJg/mIsbPbx
OBRfDArx84J6ry4+EUHSri2xPz42MG2jvEy9aoMKxuqGA3oZQmhxwzWPHZCxBHGGhxE96FyNExEZ
q+i+WXJYz3NO4jO0mqB4SlZtvGF4Cq72pPGyTEHwPRJqf0N4m8++6xqfixnjEoAUjNRdZyP0FItx
wWkH29mW5M33oKK5fs+YvI9mpZZ3WgW4IbMFLd4lcaUBV7+DlUsVZpbv6yEF1knMoiBBLYYGEDft
ATA2jYIppk+ppj3gVStBIk048+opYfHU25IiE5MdWEgMlb2SkyTtso8FxR+ndZD52R2dpUXZsqgP
SjMak0J6V4I/UzWVv/rOp64Hf0NlRz13qatDc0mylcmsO5rSE1Q4WA/065xSirOggRhZQ9UeHpIJ
lRBWlPFVsw8FfWcXN0c9O5HsmFR4yfWWWFlD858pa/8Dn4rlP7ukkft9wJNGIgZCjkv0JR6/iAGD
4CB4spsHmK+DLrxI2eBT9hr04BEOt82DuSJ8XPDAkcol/QB3awXKSMi1xvZu+u4r6ZWWwop4IXgS
MBM8FuADqejI10DZF8zNRrxPynksIszGY2SbGEWpAysnOGTE4t1uSTcVwJT2LllrxiMWkWRwbKsp
nfuBPGx8cq1+Sh4oDRglMIg4ng9Znw5kBN3qafBI1F18l5kEcxBR2n0AI0Pser0m6dHFVZ59pKrp
yoPbxcuya3J/6X+UKz69AP8sIJ5ldOMf2O0AP3l0+XoMSSxuFf/us423cep7xsyOKMPWuoH+kxuJ
2vwh5NQjvAzdDPrqth2k+HQJLry+2/mQ+xbliktpdRHLCDzjgEf2g8ISzBgo9UtSkeE/0smSmbuk
a4QPy2tU2V3teLO3pROwHiL6GQBKgkMzwkHNcr+U9JiRxiGDsoNFxLsLWIQXn6p2XFqbnYhNyQVv
hhJx0pBF/6lv+/Gm1Ut5Bx3a9rYGZcjY3+U8+A1rqGoJDjEeSgiUbuklV15Ssj86eqADdjTn+TLN
9B5DxE37qXxLJDGCnxafYXY847CElWxuDv82pgrB7OX0mLVB8Jkx3NFsS5LTC3u+HXzboNTXg6V8
QCaJ4axF5Meu52xWFgU7D5c2iRe/M85pmX8GmXHjVVqNemSvyzvRiZsfhtAB/klzfaSy9jnDtDmG
XZqz3EdQu8mtYsr2uZZNEkJZb1k+IdDyRBnxH/xOBnszD9pxiMRAAGYokuXXosiRHPvZUgys5oTn
tJ3Gl9FqMXFjjLjFZBYqBERrgKJ1iudR9ZxNyKD5WWk+sUwtMd1ZsY9xkF2/mn72nj8WTO8++Z0a
fjbQXa7CxSHtO2y3/bSoa69uZNvGXzPMb6myHhYpCvsuMCv6lfnVJkbcajKNkJodqqXqMqGkcuhM
vdcKr2XL0Y9HCifkG95cbkx51nRfpSGrI7UbBu0UXnzxmqK/ZWVXS24KBaciXEtXPLiFEs9tWjv7
tMnKY2Yv5vpTWPx1sHjozjyXwyt/88GBOkOTX197Vs3Cvj82ZqW/FBzy67Kkw/vSKooErcyyT5Ow
bngsQvlbalqLTxj9HuUdpFNMaikts8So6lL9VIFyKu5puG45l4RfBjuDbwy/fR6cfbkuZITyGm2p
8uOZujcu+xhxYprfBjdN2NCSyJrCGUARJ3YbyOj/rbr5LzHz/n/8NXauvutbTPtf/iP6q+T4NH53
y/N3PxZ/i6T//Wf+Z3/w377/M8KlxTDwf9It/2f1O+m+/u2x+/r93Sf/LF7+7Vf+3dbl/AVjVuC5
AdZMFErx77YuT/IjpiskBeH/cG/9g6oZ/MWSCIqmZXlw1yn0/rt0adl/kaTIkS4DV7JJD/4ryqV1
Eyb/xdTFl2C1fUN0gtd05X8oDpc87ZM1ZgPahmKNnkDRe109o6JHog7kgwNDHVyKVbc7IND1zjGH
jMoy5Yb/9Nf2+Lcv+G8wQx7rtBr6//7fOCFvbej//Cfhj0EbKPKpSyRRoMn+B3uZO0lIPIHNuNz3
V14sY4h/Pj5OqrRfR7pcLhrSGw0DmzKGNN7UdJpTtBpZmXYP/F/pzqD5Z1/nSfmDYJ7JoUUEblMA
PApLwF2PqA/xcbXJIi9BMN4nFAET/ySJFTnk+56SvmMZTlz96Ces6wxaToatVgUdoV1O2YXrLVHF
5X6bmOP8YdlQXfArY+3OcK6ccWqz8Q7Qb7cZP59paaRjhA+f/qoNuo3HzLkvU2EcfJlRN7n2g/gy
XbO4c1mHcwNtuTnhGG7Pml1NSmXBTyEG9hx5574GPAT7ehEgofO5f0xxeGdET/MUqsxc/xw8vz+O
cuoeEmewTmZt2QxR/ogN2BkelRT4wytmDzMTp4J+N02GgUlXqjfi/VxvMgzRgNst+WFhJNvW0rTf
kpnOqLHJxRHEYoxdQNjUxCljx09hOwpEJqznpDv0+CIvyhDzcfJdi46mYlctaglbpx3Py2DQfg0e
JGrmtom8sbUxTkP13S14ByI0Ae5Nrhxe3dZswiCtqZFQlAMW1ex+YHOPIzI4XSQ6k2VZL1a+tRYZ
mlG0lMZ8p0p6iMdZG+/z3E67jJHkYDt/Nb3ZRGlqHOhi7abfbZnR2Vjm1RP2dFS7WBrj3dyUHWtt
4YSWtJlvqGJI2oNfGWe8E0TkNWk1dOoHSjJ5p5s5fWarme7tkheW4XZu5AGn3OdiwW3TSzIvyXIj
2hkhzKmcZVsZ9bJneEt5dyQxPQ5jX4WsU9ODAF0VNkPX3jd5PnzQ8ziAwaEhZ1UKUlZlGD+9tdWR
P1XLfckimGATzxNWDWoQxj6PGoS22/+Sv1VHk/mM8/19RWG4EZ6n5U45mBmLpLae0Citx7Gc9IPZ
kFxrm0mH3CepTAiqh/TW5JaU47pv1DA8FYWLs+DmdnGGOIva1WD5IGS9neSaPgLGp2iElpoI67gb
kblio4CTnvBIS0FqZdrbCRYNfpumuRaVEPxrsqquijyJqqD8I+ZERdYclK+wcwlTL52HksbvTmhY
HiYAshedaOdY41DZV5Wyie0sAetGsDOsW4Mg6pTpb7XGPNgp8l0dPNQox2qKQufWZk86q3PJe7mT
xxEh+ayhHIdGown0VOVSHjKkpNOScDMZhZYPaW+IZ7abrDv6e92sDLpT7d75tbPsb1CW0Jmkdaf8
5CHgkMHgBPF1LGkbYIGpzIraMkukvxbk3D8lU8z2RjEgz7HG4G9mkzWsaD8Up/5BEARCf52auwrr
23GtJnfHxRXMEX/sbcu0/KwqR3zZjZ+eZDa4h2Eex1+4EtpnTmYf7l3d/bC55WJAyeItoFEoew1l
0BUoJiXzI17drebhR6fwxnHZu8C65jBRWUnmmgXNLk6g76Dk+A1l0+YMH7hjOkYlU2HSGdmO3mGM
lIR/UZViBcKv6jx4TK0paHccJzFgpJgltPD4KhyDXG6Z1ivqEmF+WnFv5qEgtQf3s7T88cmwa8n+
w+y7a08rJAbHWBEBBf+IdRkihEiWHWfasu8XWhXnpUw+G6uapltym881A/qw0SLId2szV9RrUGYk
Lgkr9pPn4CiLRBN8L6DP1bGpqjaax6E6+UXvfjhpMBxYnZTOZhrEbQby5B70FnhPFoTNn7TOlwag
cDf88Xr/hu1ch4/SCuiolPUDAy4ej7k/VIZpbTDIQByq0hLF6hY8w1gDUXaF8vxZeDl5KJmo+sMp
u+IYZFzVA3P2jvEM6X4pS3qK7XguQgMIHcIsbGEWDfNk7ct4hmMos2UKLk0ZW/k31WT9+GxlpfMC
ZV/o3dAYzVfPR+Erju3qWheJcdcqSf9nXPOCjixK8Pj0rvNbkzkdBt02dq5qmj5y+uLOWOt0fCZ6
0m2lnAlRuqTNt2YqZoF5k+efmxugW+2XfoiRuN9qAkt/rMV2n3kV9v5x9rIie0INrY+DZ6UvY9cy
EsC3kKGwWtu9pyOo/aPKXqC6pZ58r1otfi2zvxxxCrv7JZ3kmWy8/x2UHsaJ2EbCM3yLzu/M0ZSY
tnP7ghVE3lX6ZhvIC2+PBuBsnN5A4cwZVT9LR7bPDqf1C92L7SGrjAnktbJpxcoTX5Lz9fWdWGNx
uEFmCJAwu6BHekCyZu/as7v3H3oq17PTlD8bweSD2YbS6gAeiABlxECXArM1cUF16efsZiNVP02K
Dl8WahARniT3h6SjtnogYZSR3E2rm3ey8M2osAyKU9nVWE8WdfAct4Z6SmZ3/ii6xnoTxixeapT1
U2D17s4Wun6IC0O9VVgLWRH2sErlxG/BrDVjVqlgrBY6nfeE9AZWaY4PaNM3ntzFBnhNw/m2mtf6
G2yAvfMJby5kaeLprdNWBdcBlvBt+Yn6tuSlPUTrigcDxs8EWhspWR8y1P9wVuqIr0//JKI7c3sk
jaqwyd55QpVbMIA01pQO2iN/wSgdvD9LagCMQFPIARj3AXmKQjtSWvQgmqXBLObvWRQVCYcqtMV+
m4Pj1meo1rjENggw9sFDK5hPfZ0lJ8aZOlxsCzYOY4N8dfox0VsUz2pmCe5Zj3mLjDQvkFzzle4I
UNiiwxbX7txsSffdqGcIBm4VysL0zrO6YV1qkJVh1Xf9RxNLsOSZu9BtYg+7OIeE57KX2lUt9u7a
8op9XK/qgd0EOQOHZ9QhlHuRXNxp4UKLoNuicb4T86i76kOa4xc3afyy+cn2Pjqu6yAfJkRwFi/9
T+ZLvI5AdanSplz9nXVo+1h0AIiR/PEKI8z492wj5bpfzFFmYZ8He98gvcfdjHrg2HUOGZlGbNmp
zzZRTu19DW5r67sj3MaRyjodm9by2GvWP6e6Xt07GZTTY+ImBvsVuOhnwt/56zSyTrML09y7U18c
WXZmj1OSiD6itWf5nugv8rbQAbJ3fwjisKL8MA2DrPfEFlqNxN4NPaeM6tKHxKLJtGYxy42OV+10
q+Tye1izGUs8tM24hBGocYetddewxOyqS+WN5n02e0gk85hfNdYsbq+Eqsj/QhY8BHT9ANnxM/A+
to9/1rrB2Exs2pL2uMMkJuvnyN390ZlvuaaObdMLp03i8uCOIx5xncZhN5DjneLplKvg0sGyx/lX
RAw9zV6BnLzMLl45m7jk1zrHrLInORgnchtf+FWDh1bA4tssq118j5WnHnJORd7+QBM3nXa4PbBr
Zy3qmNUd1k+mN2Myr42ZBo+84GgIxvZ2hnc77EzHxpukoS5nuo7/IEEXUW4J70GDjmOA9kZMirNn
cYo2xtWQK2cI+eiYUsCmMvf0KfWRR3HZ8zpLnHV6sMU9psVgmwar/nIz0DILp/ieEK4JJABrOkTX
gp14/905EJWlgsPDer7hzalihs7VAkk0U3jMUJDO4iz4F4qyJfciItz1W2N7TiR50WyKps2iMo29
uyUpkqs1dvctIveOHHe/L2q7R6jkcnO51eaeJXzmG3ClGA81d4wwUIkNfsldnhxNWRsYm3NRF2/S
Lr9hMj4ME4HY3ErybatzE+JpNR8NbMdWR7ayJnED2WdYH4q2LX9NSzc+1ExfG3Jp6pKseXKg3GQ+
edbPHFVpGAYHbGOOExLQhzCchLsU9Yq3devO4oWkYN4sUElTpQCZjcuWkstNnRwJcJySRV6IEJ7z
NZV3yoM8BMkLE0sGJ3C7Ni5ZSwwJjIzlb3+Gg7Dpp/mV2j2G6ErVW3KvDXDRPA0x1uZPamGijTvl
nP1hdJ4cq/RPk9lAArUgP3qGn+6pVMvO4+LpCrW2g7d7k/Z4DDE20vgckWsFXuzqQ1xIuadF8OTn
A9ozHhs/IbQ48Uwv27lyAUBbQXoijohX1c70ucNvHuK1pTNlrbHEWl7JFhyjLXwHt+u2JT0H4brq
gwNLpzWZIVZn8reujVESubk4xmvJ+QeR5mrFTW1sE0g6Ud1Dd0xUi6XAbZx9Hy/WO8seuAWtKk6N
XnGIGpa6KwzXiVzssGAOMvuHTwbsHW9G88wEnGH8TqdrXsW32vfGeLaIQz3na5tzVrIDQmPrkks3
ZMldUrZALRnaflmWxRWavS8E4KH+jaHXBcowXHSbnfsydkPWDT9NzbsP+8NKZyteJeO1zXBU28uE
hAyh42AQTT1qe2QBhgHkxce/EVa44amXZ4CdvEpErJj80PWai5lUFm0SdSjpik+Ewy3SLJE2dc6c
UHVflgTEjmcz3jpc8Y+9sA86X42TCR0igjg/3A/B0J9Y5SLtJyyXALjYTndf27dd/d2YmxFi245F
22eezA8V65FDnugXnzy/MkrKNbpDnFu31xJVAbF1q0squ/dOBR9lSef6lH51CBvbogO0peAnPWd6
LA/BAEOS10x1cfLZ5jnu6mPg56xkkvLEJnY9S4AjEWG8Amusv3cWWFxkqwpC4lV6xNmj9gKl1RQV
sbWlolwMxGa4Tkab83Cw7CN7IQ9rUua/hJ3VlxzD2Lol6gatYeSMtE3jQLOfCF22qHsVlDEFq158
1oVbRgYl35RLcdPfoDp6l1RR0udrL7yB645dkcNT9Y5sJM9WaR9WUbZRAw7kraGh5WI6nngDU3LD
yUwDbgobqtyeiDo4f1YbcM994j8w8NLmasxBEfqCK8oqDaawNWjOoNmml8Yj6uqaYMXoB/AnGSV2
dhrK9rvCUX9HRYcBwd2ntJ4D/mQ2FDp3VrlDYmqOt8zcthU6D+28W+6gd0yh9Gzzl+D7Y0c35sPW
q7TzwZq0PVLF4T+iRLsYTydiKl4AvqygdQ3T905OA4saDLkU0X0I8sjPmGhoZrZ1gH+V2LcNDk12
u8H17f2cVkT9ZpO/enpBAezMQTQbhqIqunMvbNEgKzVypoaT1vJJ1HcqpT1ltb4dAYgKrPspCF60
mYfAMh6XlM3wkP6c1fiNxk61jNnUDOJ2SyO2K1V76C0APrw2je3sFjR12oYZQeufgSFOsBmAOR54
cx1yyz3cNuazg/hLyxL01/JAizQfKPwNvG2/5WzfG5Ub7HtvPbiGdXYJG2yYtXbtNH2O9oyLT0NU
Pra8DqAQmMu9iJPPUdjrtquNKzQt96HM9PAFK6458ONABxhbsHu1R9FyG2NEMV6A19/VAmE6o/Ha
o93hgjGK9J5rf3CAQzswW/cqKJsNDRYkob9YV9o3gjCTPriPLtkxQ2+7Jt8u9fA9mr29mXg1bwKP
bWU++lCLSvkn96hAZFlV5nqbzOVrK1PGS5KZaTvh8OMFvivjBrey2BfV8mE0PnysmwUwnQn3bAqn
GF64ZPe7wknvsnhK94E1PM5dwahH6uURL/QbO4Vl62l6LK3CZF60UIw8C7yW6KHptylmhtQukPIs
515r2RO9nCoyl1kcujA47J4iHpKZ3da1ppOTXwCGneG6EXWtq5ebWZJ00CkO+oCVx3gv10B3YT+O
QTjWVvmKiU1/BNVwytY+3xRcOEBz6IMEsLMfGigXUaGX+ojLb9wZdOIeDSuxD3lPS0q7TuqHyi3M
ip744sr/KrCXzo9k1ljY/PbQuV7nlOsfVdPxMUEZiiilubAB40KNVWNnatJBjl1k3E3GB1Uit4xj
3VxZ96+HPKMdbpNCB8T202Sbapi6sAUkeLE9FDOuDfGOchj5siZzuo3NVd/VoP3RMm3ZHqXMWEUZ
OmU3pC8GfTmbYM40/1Cm2jc2dCDP9hY8jo1I3yZXO/c8ZxG80wtVM/0lA6pGktdE9TquGQ3R/Nr+
o+8d42hzU4Q2bS4ADVfvV7PG/WEK5pcgzl5Ku072HjHDPcjD/GqAsQhbiNcg6PlzpWYa5RD+aZcy
8MLynmdOxuaYJY7DFN48S5OcBmCAaFk9sC8mILDj2pCibOf5E8ooJZec4kdJgOaOfWoeqikxkIiL
vKFbVPFvdpi18C+eam7QeE+y6aPmNA8p4pjCpEpQqFr3t4fURXJvsR8rmeknVnetFbKl4zpsejNK
qt7hgFXvtMfmFypqqhMZUN1EPYZ3ysbBbWIXgXW9n/Mk/9FlOIaHXLjYETGo1kk+Eq3mjZyu9Jps
MEXYBucCtRXUUHuTukxyOdO+YFxjmyqorOHqEfWGZb0GLgnYje3nOS2wrJsvumckI0NhHaaZ1lka
64i5EUzAJaEX6d17QqbnGE/dgV8iIpNQ3YW7vH1Ng8I9WoNs/8BQYHSMnf4ys+7bV4Ywn+zKVQ/U
Doh9Sw50D7SJAciSrQVXFeRDODWlezGnIewY/oQVYEnL/hd357EjO7Jd0V/RB4gPZNALggZpmD6z
vJsQVbfupQl6Bu3Xa7FakJ4EaKCBBhIaaKDR16YJxtln77VRKc5gyMUjhunoSO5FPHHww8siIr7r
o3rxVULD2Ik0N+tg1HOIelnNXp7hv+LRhz8VtxNWK7sG7b4uJxF/eg7nBd0Ig3wWhnfpYAciZg4F
61r8ucZo/Q593fzSTaOMN8Izw+8wS3JSn8V7CsgTh2FzL7r2Cex0v+kXwaubhz0ZuiqQ3J1P46jz
cYV3u/acot9Doig+IVW7e6+CMgtTVd/2JUygCHmQzbmc7/SuHwE7ZiTXJtdDNpNC8dWyEOgczOdL
/3KZpNXVkwSb2V+7AOPUcz/FENhE84pftSb4lhc7Kai2mlWUPFDWUH9YkYcbTQ/dYWdivYAvarHK
rYhG0VXxFMe+f8B2z3WnI3nqdScaM1MOvDE9TsL9k3D9X5CfarMADzkJRhjxPST9J5CbPEygWWGl
VEZxdhZLnTvfOZHj38cuXZhGn1VBqcSvAtrFqrET8zLm3I1p3DEpup60T+puYDOV/oevDG/PqpqS
M5AF64kSTw4PEyZZHmbpYeyFseepy2gssO3qxXOaGfZVGHz8aFSOjh2Mlz2D3bDl8n6vEgdwCYup
wK3V2eCiTsqphyOIKrntBRtc2RbaldyQj4hhPcUVSIJC5qxXGgg4seb0m06kSPgNf/mswrBl3jAf
6meD+P2KRX16JOTHUCyljzKEqUUV44MhSF0SZnUJVIJvE6H/OI1qiRAWjzpfopVuD0HTu/52VCTl
s/Q6EaSjmBL3ySjSBH6OpJZvbXeQVZyiUYHghsNZiDRqbZXfcybjry9PPp3YMSpAA20eyCl6tcOB
bBDre56AhX2XtotqWcYELI1m5u2120PJx3ADrw8bH0VrVUBMKb2ouA3vmnmej5NyvIvnq2wtq/TZ
jpx7p6XNDGzwp5PSRjBiaULt3lk2BoNmMu997kWnJKbwqU4IJjQvU5e+2X2J0NpiJa5Ld6XJ+xCH
ymZmwfLYkOxZCw2Eg6mXzYmAkQKw4sQvtkidvSSiDbW0xcbYAL+aDXdTx5VFSqrSdrnyV1F3P7Jr
ulCVlB5TvmufOcSFcJ3hW8dl2KC9dDbfgAiUrdEB8iQCQI+4RwlU1FveZjSaA1WEcC4sG1CLN7ES
JJKK+Y5WKx4nOfh8sBeWjuRI5t6sc5+30cvFi17HlBthg7UP3pgVXwZaA9+fTpRnftH0SMnvs8J4
jUAogpLz7eJPUCvWWj9qv8Df5GSeU8qwhrk/RBWl1wRglf5mJ432xNxvnsnY2S8wcnBho7HHGL3j
FhN4BqAh6qzswwHv/St2FXMdooHfsxSS0p5PGN0TiXprdS+2apNbr418jSfJm8COaYivFNummA9V
wjWTWJr/BBOpPYA7nDmuGr3HHubaz11sxMUuc9GpighKEkqmZZXcBkV2i2xPK9ZmNvp4DiIKtHlJ
EkAElnCTZzz/zYF1FNe4ohNJwERt7d0uTwBQlpXgxwqKqH059G8k6H/F+J3XaoKE31kE5PFdpBu9
Fr8yLnws3GYEK/KiSCJk3r1TLygmBnrBP5uuKtrLBESTK6VuvxXg/fQV/1tvLxo1Al/4RcBotCIs
g6rr7e+UC3kwU2938MKIvGyGtAp8FcJlz064wehDT0hm33dY3vi2A0TVt7XLuweHzNxrWtiwf4qB
z3qsfVC6ihVXxf43r04XFFSk4IxMkz1pkAdntFhDZqFB+Z9la+sUYNuFYOL4iLIWB3WZ0wSBHXTt
aXWuVqF0cLxPBFNpBHTGeOMaof2Ft1bBCM7oYm01UjeCTo2NQJXdu2Nm3ihqk+3aDb2BVTThPMjt
3CqBTOkmKDS9GZOAjeKuHvgAR7P3SQIwCjCmpjROWPV21vzuAGVb3PQ+/vRbFD2sSyJb4RJ/tyrV
UToS1VsM23dd3FO5XOUABQmlrMJYTGsH18ymnt6qZCNbeilMUV7ZCJJb6WrjOarqTT/JZufThPFS
9CR3xqgknZTS5Q0h3F2FGahkzGzrEeT2nikwDlpTCwn76Zz1nfMxhgrTbVpgytb9vrmkHuLXiAT2
YNH/nuH/t60nlk1zEMf06Q3FkARq1Mb3UBm/sxnRQVLYcyuaJn8pEp4d0Cp1st9+ct8Bp9n1tpPl
68avSdmzRXHmdToTHUyQJZk6KC96ijtdPbiChc8WblzUryHX0ffuA3tjLCX/gPeROU26axKa45I3
NPaJ3ZFXATFAdmrZqiWHySpZnZq9u12e1C6DB01CebGuMARgE691OnyrBjjkYolUfbYsZo0NvJp+
S3/iE5MZtxRlNTsPSOIlpR4myGHmbKAof7B/C09cRNJzxm1yndcMNFOSOyebgniaw1IgLez+Llka
268u0Ks80ocgTcxp38IUAElYAdeZjSSQXas/xIPodywZkDlVNUDY49ZS71QxhI9xPzpX5Er+KilL
QRpHrROraeOOV5XQKByt6mIQcV6zXcMlWc6uwEaBe+tczKP7Z4KsnO3YvjADsnUbjxiCoUFYM58e
tNSnaLa6m9lVd1o0bwrUvEs9KudgZS5cAN2xy1NURIhxNVh6fkDTd0FaGUTU5vJPPTgGySqHlYpb
mt13hnUgUFoW7sHG8vuVbSV2BheFk6XDzssn+nN7bDxbv4c2vIrsInnh/SWJXqe7ERGBRxd7ddz6
BmPbSAVP2pKWByIXQ2fFD21Ac8Q7q3P69+zv9I1lmVDMZ7NzSJlBnQWmQQnZPDprj/T9u5rMiWQ3
z8eqBl+qYgaDxixPbmG3P2AMHjbszLn/g2BPHlTt1cjFaWvezIgTWpX6HbuGIBn4/Ob29Gxktvye
tTx5av3G/WYD55/tzjgmHbmpFfM2pm1PDA2mcfjn6wag2ZvGQvZGSxJRrgIf/JQSQ9YlSN/BX7go
Y9hLbHqJgxTMneEXGiiTh6jNW4T/FLz1SGLNI33M4n88lHEBYqYdLf0U5QlfbaJX615bqB9Kg9ox
Nh9+zH1j7ZS9fkJ95mnTp3b6K0SsZEywBmdnDkYKJtv2eYO6+hVh6D2J569h9DMe407zbIo4OyS1
jeWax2nyZjB/vqpJZ62Dp3zaE5ikA8pJWqYpnTyFx8yyifykX3Acxb035RTWFp5zwzoKXpgMMcRF
SUcaSh8sqjYqraCoBjwZA+Ze+ijw9FIpaq5/BhyJLBHMbnPPxstYNUkJdi2NgLR5moDiGWveTqtH
cV9aen92AXYcFefRAyYPDUooHmcu7eMd4BVrT1IweqMl1nyuJQ0ZACZBSpuZjpmDtN2uxZoPhlc2
xjUVA7qTjimQhZdq10MjN2Q/MBO5EU+CBMJIDjJFEmMboo3SDAKIXUbJQAFRZVXMjqChlXKPjVM7
BS0f7Z/UwPeryhAeSJtiZ2hkNm+FaTy5aPvrRDf8ncNpumW/m5+1TNzZfTEHLcF4PJ2ze52aumTe
H8cvAPZ1v2q9YYFChwMObZvIPdDO/IElLRQezRrvWGA7X8KLi5M2OezVCr0/po070cUeZZjzy9h7
xOarHSZTvbXo0HLV0H52IYEoA5w0zY5HKX6XZOpuncgfsODJ88ida58S6dtYg/dCfDzetBBjuEp6
Y/oMEqi4G/C9A3/srPQFLCE7ArIRmJuSpavSnC8NH4h1IUOs4BSCHNpYLgbr+GjnCXJk6HnH1Lav
VSjzDcRcbw9LsjigZfTrOalyvhHjcDQqjDP00KFvNq6brzGzAnwsGlwfFLW8ao754DXhMxCp4S5u
qGh2Q6Y4CbFxkw9Ly9yY3sfsCRPcUHvLI5UAb3c6ARBEec3G4ipLeKFFIw8m19l7GN/oBgxRUDuW
4neGJ/NSQS7Zo/v98uh6svTpFEFd4yZmY2rOWdro+MX3KS3Nb3FTu0Gb5f7Otqz82ehcDi7FTvpQ
pMXRKJ3uhCaAJ8Syx01iiPolk7xQXhuqFWNy7a0aFtUwCpx2OdLJDsCsyIKIFpQFYo+to6TlPtfr
KhiIAeNK7TB5ryqCydDV9eyeY5rmNlby45YnRxmwk9RPneh/V42B1tNG9h60E9IeGPzqyrllr/F/
TUf8BBbb6Wh86lU0Xr0C8zp8+vkBi2W2nTEs3yLfKB5qLhcPg5rENorz6n3KaP2FGjL2J3Dq7Tr2
qcIjKRa+9FAQVvHMUIoiDRuFbz4VGKyX/NciyaZNlZSoBnGpbWQhJB0kdnxIwd4c8tgV90biJFez
aBHK55h2aH8w1R3aQPwrG9gnrxKonljz5YjdwXBO0FmsNxrARs6zuUU1HG0g1JNPQlqOGb6thH2C
bfm/6tC3jlxUol+IhAuBd5GiKGm9x8oPecJvOvvoqbdFCnrVQ1xZpHF19T4TSSFYaybv+NPmG9qG
uY38UNvOjZ/+xi1uPEyjw+YgLLOnMA3jLWsBxvuC/kPTr9xHEvb6Lu5qey08J36gbwI+W2V12VHF
qfxDaLp/LHi8spiZwlvt1zY1dFUGuUOl1lZLw/BI8bAZ1C3PGobnQr/Lsml4R2ZxLqysMKuXXgfR
eLDaGxsD6zHvGMC1cpKPstS+yOjQQtPw/AQtcYwjgAyxaTe3qB4N4hU9sqLkO0O5t6K/3E00jEFN
jsVmFgcYtATmHK1/mMkqos8PXbPJCrcK5gYho0oJ41a+MP6I1AtPOHQqqpg1GNR4y7v4zuFyQJ30
GB7Bzma7oakpTB8Z9RmdUQvYRomHgaKYh9QHzh1hBHgqwuSRpyt3HptZmsevuceq7rJLi+UJyvT4
7BAM2mPeZ/GkZYqdNdfaDXdk+QoZbkKM1sL4rSeAmK78LB2QHdC3Z3w1HFGJJgNXN60TyZj5s6BY
YufFbO9alZtrn5Fz7ad0VbDdmR5Rw9TetokHDvOivVd61/7BXDNBK4rsx7k25kMPkXrN+0axvEh8
UuZAcnpW9KSVo3qlrHxAPmlddIXJ0SA1IZvzsWSDnY/XPlH3uOAVzjjKBUkreQFuMu6cUaLtClY3
j20/VkzMrb3XLbBr69YzBpuhcvL+zOQDeVLMxbOMeQ0cC2B6kjnloaTe8NqkXXOzwlYeY4M/fzRj
FAQnYnm85MZvDhzt0odTq7ZOthSgw5XmDPpHvGJpSlYH+F4/2HQieOVvuy7D7WiH2XumJhKvCZbh
Zydj/2HjvrqjiTz9kH7bX22TpQs6LWZY2WsZJ1Ja3P+vOOH/D3WnUc0C8uK/B3isEgCnf+9//+sn
/Jv/3fubqZu2rbNi+zHAg+j4C97h/WBNgXfgaLdNmyf2v8M7hPs3W+isdwzkWkc4/n844IX1N36G
4/kUZ9mma/zPLPCe81+d5wL6osla2rI5XfklF7jHr8+HpIhwqhv/WPcEfHCpAioMDeuJbox5Q/1A
cRyRZDesmLpdX+fvscxJtcJHfU/cPD+zVACdpX4wWgWGwUtMl8VrGkPZomvXuRh+4YZ0AamYdeIP
kishyf4q5oVFNZBUPoeS7etKLjQvSdPTLloIXz6e2z9z6arXeEY8B2Am1M1xtfGO5zc4wYUUBnpS
BmzyxHFsevHQLUQxa2GLTUbL1YHV0CEClQy/R2jL5YMKmFO1sMnSzAdTxrhbPMkfeJlMaNKBG8UB
Zltpz1AGRW0NjCl8Hsu03uU2HDRnIaIR7GecJeBOUrcmVvlCh5H+HP6A1Doz4tc2S7Z6+JRY4kbZ
LL79KIS44ywstqaFyoa/X15nQap+lS7UNv0H4NYsLDdmX7BuyCjNvVaV0kcWh/vmLwS4fmHBFT9Y
OP0HEQcvBFxctJDj0NS0h/AHJweLbfis/oLMaYwrGFym+kpiH1N+rS9IOvqDmDmihVTXLsw6h8c4
4tMCsisWph2GFBMhyC3Ppg3xLjUMhs3c0s0gZ8zciw5YOM7UP/EPLs+JWYfgb7aaffoD1Ct9vcOg
rHTe3bijAYwcFmNjy4OTIR8k36T0pXnC4DFb6m7Qm6D7JpUlCa9GSGEafo9flTSGd0OB+2MMiE72
ggDEqCKeB4wWF2nL1OZ81l0tIA1EMHr8oQhKi9lj7aaO/dNcDwAe4GBTF9WWbAOrBLuE4Db1hXu2
FkihrZR+P8OmPZkpCEPDwfCIwp095YWtHoE/xcO+FCzSkh8Cooc7BRqijWqhL4jECnNkQreCpy52
45lnm6q8A2X3cBWpm6YW/Ie2WCzgRe+HwWhoPjeXaCEzSnhp55CYSb5gG/0F4KhJy3p3uTifXG3K
9pFoBC9TafhXbjklLAK3wKxb9YDr10XrAXORfsoD3SnZVQcG0Ww6r1sKCVs8jNxjHJC/ydQ3D1rJ
utKbUrjiCXm1qv6oMN0SKSnzDcqZBjysGVF4yqM+dlrgdmG5sSfrpiSyOlGeIPcRbGHtvobgtJdg
cABLtyGB4sZni7ojpIT6F47Q+po7zWPdVH/8pA0BDMJy9Tuakivcv7M13HIs8i4enDV9ocBNhcNG
xunyGz0TfOodl2k6GISQxabG84QtcSREWLYzvAvKblcWVoljQ6/UoJuIuFYODs2fVX5G8nK2S9H1
c+FbxUXTQXo3uPt2maW67l45uLlX1Jc2Hg1lGoH9SBu9jw5zBLO/pzSUYxXFv5DZdX3DaYIhsNRn
5R89OpDjndnx4rBYgdgfILrwh+Qn4ccozQiWy2gOnYYVTwFOGDxXfidmQZ2rkUKyJOHCx0KNVKnb
1k7vLX2LWGgcjKUTsR/wLuYRJnIamcPw2eWlXXfYylZDZcvAw4fSbPDZIFMsTTnbIlVdQF/vfGFw
1h89YG4fngG+ZSWSpj/RK4w3yQ3lXSi8MCDXn/ypWOUr9gg2euWs9ClYQupbwjfDiHvX5Qtv9t17
hXa6r+HL4DKbZbKfSCEGHVgbvH2tC0zDIX5oSj/Z45hq3izRQB5uJjba4RAFeUWqNCNj+KhnRvOm
ZZ08unk91RuRsvBouxrhlkXnHcVrHYljrtFfEXI9d25/P0eQCKWczgpE0FsjopZhbdx3s9Qeu4rO
KYRN+TAlkGidVp9vAkrUjo4u864uzlWiDsR9J/JMJJvIWfXPvm/2QYthXqzT0a0PbGq0K23wenUy
+TTdBiBSNI1zwq+pzTSO1pC9g4xW764m5UuddOWFl1ne53K2PqhIdyRmGn1ki40N4BbF7NjjnsTq
SkRzi3kIn/SAvXTdYnrB+TUX82YIqa+x/O6UTbNFQ0tvw3GkkqOhtRjoLvzdxxnuQ5DN+fwYzkAq
1/hL5auHv387VaO6Qbozjy7Jf4TqbK7WrZOm36BZMcT1HW9SrtnJI2VWfMqW35uGBPNOgWEIyAFN
exLOzi8Y4tPOoeekoucEGZq6AtqNmdAVBdrMOWcXYWfZu0NUGnjcV00dEMB0AnZbwwOILBvGtQaH
zvM8CathinahFVdrUtLZq1Z08zM+YnGmvYfz3cAFe6ws1BP4wqZxiHTzGz8rVCJjkF927NVyC0+u
eh7ZaBKn5+pRbPy6cc9j5aUX4bXAcFrOVvxen2aLpQufa3rF1x/dIGua7FbnkExtPvjyY+A8hawN
pk/bTlFR3nNFNtRhoBLuqRRc3qh3zLuj3jYOuQvZP4+p8d3QZz3vkrDVkIjYCbh+G/12OxUFhYPk
BF8SIXNqLbwM1uCP3LFN8YIiMzwxeQyfIZwUDl3Rp+7Kk3phrdzUrp5dyup/Z2ZGlMssMTPGSboC
ZWi8xykNt/smRRdUdcVOlUN0jMjpeCWbzxkF7s0Po6/FWMZXyzvVGOi2ucBp1GvRnubuR33mfYa8
MRynOryymK1Xeorpz+uGGW2CsshH2fAl2XcQ/U5jkTqPPcrNSms7sUsLn7asOOXSgSzYfhHOvWJo
5Y2ijPUgKs3e1UT16NQg9EKxCyVXhS2GexgZLfc9nUcrofCg4pnyXE5lFhg48mjGM5q7zLXGZ1kB
WXQk/HFJ/TyCRMaisbS1J1xx2xHECtRK4d0PrZ1fG0xbqwRCyasxwRrum7zbNn1RfRcUZ2PCaItt
xHVrP7qF/+aY+XQLDaf87ltBx2rLAm41OM70COi93hPO5GIi2j3NQvE5LjsCNH1cf/hFO59G1Jo/
LjuBdRXat4qI/SnHin8sRG18wSn/Wep5gLQgz7G/n3otOWV5SHaa/PX4Jwz14TyzBaAjmPTzFbMK
BwnKy1feQxgftNY7wfxXuyEfkjtn4h5FYaQfuJTSBjN41wuJQWbABFSQEdK8Vrfjd+7MhBSr+tpR
E4oZDHA6XEuuAyqRuCUQ7fBeQGLrhjOXzmST+oV1y3qBsbHiWC91zWLPLPHMJudJxV++NX1Xhn/D
ItYG0HkIOFMr6T6UVYWPq650I4hr7cSZmHeYckgbAOxEAiinsUjWOlV9XCNoGzu5jhoCEnvag6dP
pv4OscNzj33YEiJzKp/3HtzzHy5ZZbdj72y88JCqd+PAysi1h6X1JK9d1HlP+t+YGQwDbYGnUWv1
eIky291Yczdf9Fa7SCO1H7hMTsfUR3oy9RZbTpP43OYWe5eXpwnor8hoqQpgxf2USSPa5y3zcZHh
2h9UCqapcq6cCGpr1xS5OJHoG3oFTbq++BlnkWukNrlnztdGeWiAFeVV7xk368eyEc2Z76vdwedX
U9DUU38vtRp+Caws7wKvCP2kcopZbENuuOTlcYSx6y6yx5k0JE5OsmHv7Jzzs0lVpL7G4mlfzZIb
ipRUeq24rOZiFUdOeYfdhNh+m7ehs2rtAaC4rJsICuEMnA2zZxW/6jI2TrSbK7amurVUBnPFIL94
KGWWX3tQr9lGtflF9I5770W6BXLWNdnNphiHvr0pMb6iqvPIQ0j3nb1zd/BAu3YrtqI4YvMolrCb
irAbMat7pr+BY1fgY2B7Rtxr8J5ayB9q1eAE3Y4eFC5XlV5g1fbOJ5qxYemMkK6hCa6nFDAwp9Yn
ggctMaIrMYdb8Q4OdI7LX+1iEd2J2v5TGz29YfS7HsY0JASDZq1X8RJIus7l4K96p6I6imDnoz40
GguSBvu4nYUbqYfmOrPkTltGDJTiPS8EPdFlAESuxyUqMfsXf3SMZpsk0vbCGckxL3hyRmT4eOSd
N34Zv/rNgG0vjp5AnsIzz6JnjWvHinEQq0iqbkznBeEE72KKtt7kGH3NBI8Yw8iXFppnaaebIrG9
NdBAng169KFKcYpwhqzsthEb1bnOZh4ouJVlrA6uzFkODgBnbCecYXNQ74o9Ta0l2uAm6UmS0TMN
xilrgjwTGz0bP/O+xrIY7xUr1A2937cZlfluMPNy68T6TP52tnaVGYKRH3wD0ywES9B8wjymBWCK
sPLkDl4FWSZoEtta77qFNb8oYxX54Zl4J5dSbep3I7yhe7q2jJCGGzmZ6MOdR942U83ZwV2SkKjg
9fUasmZy1IiHmla/tzQ3fOkM0b21acHKhTocBpZU4U4bYatVm1n0/T08mzzeOlHlv2RWPn6yoQxP
kMsGG6IZRRCDtN+ioSKYB/EfCLTxA4TG/ZU8OFU04uEwzXlfjbCjeXDor1HRZo9KjypIQo3l6DtN
Zu3RdV3g073XNktMoHqFvPZoLoxqHVi1WqjVHDBylS8k6zGrP0nwmuBDEfAUuGtcOj7WawjYYuoW
GPbCxY46CNnMWAssWwcqPXmes6h/wLTLJuw/+GYl1F9VSb3K83iXO6NDazCPanthcovYjzCXwulW
HojzhbjrbxMBx9v4QXove+KXaOF8gwNOdskP/Dt3W/fZ4+JisRdY8ODhQgr/X9HV/v9VDJm2hzL2
38tv+89m+iw+/16AM/76OX8pcC5iGnxa3XXtf4fk/qXAudbfoC04um7wW/iGpf+HAgc+10N6o6OQ
TyCxib9jUCDOOaav+3C/UN+W//Mv//xr/CcYHP/GegDf8Z/++x/+jv1guzA1/hP6wTCEjyvT5nfR
PQgQ/0WAk4aIhZT4idJe824ullZM2nORB0QvU3LUqnunGjs7FPiQ6eJd8Gn4f7GPyhrOMzTqA/gW
bNt02y7hkNR/Kbl7vImhcK/zrFvPIPLay8Cy+jDlZvoFD8rE2xONh4J/753cRvj2dJ+Hcm0o61uO
M2butu7UleiheLLclG9KouUFXoWK0dBzsieRGcPG83VxXK7/d21tSq6R+LypOMzxbJFecqowfck9
uz02FMa/8IxIL/C2gwQxiNiA35O+rPlqAfRcpanSN46L/G1LT6zNlJGizLxwDW6srnBflxEWGhPQ
akvUxRpltjGh725Nb8wfKSF0Vz2b9mtneP4GhX7jxXa1miCDnrnfVxcTA/5xpJcusBF7rpboraB3
pXzsla4upeKRnbpOQVDMape+e4Nkbd0/ZAXnPxEO9i0ZGy3Z2Vd6XrOrU4/9rh5h6RoN+dFZK3qe
64ItkKjlLcvoErSXm4NqKrjdnZo//dyiBT5J8XZmZbcRMe5XyL0ZdUYKfcMCOhHSK1sUqrI3BXgE
it9yyfJIjdGLogr9bYrD9skPu/C3MVuzu7I8jNcQO6h8W0863rIDS7e8DRIz1t9zn0YRxBIWiCtv
dsePlEIi0mahldwVXh+eEy8fT74Wj9umYsHN3W32kk3Z+T69ztlkrfmMaN5aw2lb4tubSTT2XU5a
emQ52RvsM/WSYEXTlsXZzC0NJcauH7OJ98Wqc33dJhhbRlYLc6ygoo9saCWGE4JIhXodUyoaW8/v
Xt0+TV648kabttYehJNWp7QfxB988DY03RTsW9rVmGzTaBrvhUi/49j7YNkTXqpmxmNCQuckMtPe
dAMm6ZWiRNNYAyPkeem6lX3p+y6lAs8zcHe305ENuHvLK3gimnweSU7FbLii/twDPvlsWhpaJmEN
VKp7BLumSh4IKm5FNIb7UmuxY5iz6dwPvlfeBjVMweQ447GOYvs9NhsHJMPca29uYicvUZXJQyGH
4SP3Hf1zCPHCx0xYm7L1vNNg1u0m8YeNdOz7ZDTqB7MfYfV2Wf/JqrN+sUdc2k3Zme9VX0WHuesh
IoJSdQ2Al1iCrRzldsMPra5Ra/sO870VncyY8BXGjOoG5ZIhBJ7eawhGh0UiPdp7UWPxXNPDKIM0
zEAA0BSDDMFilByXEa0lp8ONTQUPPvpn+PPq+RIyEcbw4sDhOzJPTxumrfISusCrHZWKW4IF8VIV
nbHFWA3ztXcbY4XNgjYnp6J3Q0Kw60E5M0QQUTZ+e85EeMWx64tg40VHOsE5g7wW3q6e8EFNiqxF
mGSBPDwnTVzUOwyoerbmOi/dDYgof0MfCpNxaKb2qTaX+1UHVeIiCOduS5omgy6sOQfZIej2prIK
z1sX4Aa3ynT7BNsKkFqFgoYRiaP43aXFGybK6Ezc7u0Gf9I0RxrAwwxxD2+LQ7qqYS13xhBKAsqK
CY4zMGKs1friu0WuGbl9R+LDauDGroqqjd9HKqcsuislm2W3SF30+Ex07vtUWAp2sGZ6z4bOSCFr
Y3irwcwVxwQdyFkN7IIP2qDbxU7BagGHxQX1KypHUbJqqdy3jt2Et/Uzr7nTl5nALKfl0B7CiYMR
eS2hs6wAjS7Yd+48oS/XZ+Fr7/QqAzeTJRZAEODtOF4cx831PZ7GqiHbrtXXIUvreDuOyhzh9hnY
UlptSJvdhBbHxkbY5SOFSNyoBm9mtOGC1n7pNEtAsewcJ8YbaAv1WMW6dnKbOQ/IdKsG6E2MLJ3W
rGn1CJM0JljZvSckG+x1ThaPSb8bLFIm7RQjzmkOFovWDnGEZxBZI+oAe2ZaaRxRXZyDYSgU8BZH
zJ8GWNkr/tR2R4xnytbsoxBP5FhnD4l0w1dsjO2FRtI/lNc1n3biP1ikC8oVvZCgjsesdIJOpx+9
s7vxY/J6tjtW1zsfFsEqD4KAnA46rbnhKnEzdlNG7z6E0pu9u0iGGtqRlQNvlG4zBH7q8xegd0Ht
ZOYrmngY8gfGnDx9ZqsxnsieRi+6lRR0x2VWu+G2CqweWNrw2/B4qlC7Pqq1k8RQJcApXDTZU06n
flCPCp7lQdMyvvcNX4S3ClXoCdu5PNESJDD6k6Uf12VsldMOObnfhUZkPHeMHheZ20a0kZqeJtvC
KfCZuwtw0v1hT1qtVRCqTYjHtAh/R9oh6leU69w6JDjSqnXo4sxZmz8Yy0YnS0KRa/dOeRF2Qk1v
+QPafZR911oPDYFs63yFVME3Ri1UzLTIuhNnqPGpG2p6ZVdHZvsHovnTXQcRyrTWA4RMBHoQhO/+
wt5se8ahVSz9AaYNWM4apDGRWNZseUFIjzIOexcmhf8SLUhPfYF7WuYYEewbMbfFyswvZgZdc6mD
G35z6KoboSimNiQI9dL3FvDQOTHLD02W1QEvBIIuLfLmI3A4rydDJrWvol7Qo/QbNAQT4d5DhAbd
bQUsNLLP5IdZqvU//NIflmmalCDZU5HrbypvkB4AIf5244V7ahCnW9iFg/tA11pMK9OAYNH0KR5h
JUt5RycQqSD1w1G1IpCqIdaGpX8xvh9+YKvYyYABDAlNNnP2xXvFtDOPXvUytIqnQA/P2LKM+UE2
MbxNCdYAjGu98P5lhUKquUv/mag1/aVKl/TL3Fnumf5ocBNj6LrRXv1QYl12TtNWdg5tI2Fsq9uS
Cufj6Yo2WQsZh29AvIhi+iOIvyTjVQVSWL107ejcqyHxN1mV8L6nTdHeYSSaL/MPw1b3rPahM8iI
DV4I31YtqFvnh3o7LADcZAmwgyIBPWnxhGN7Zk/uXkshoBsAgwFuAEXeprNO4OGHowu/P705P3Rd
QsTi81/ZO5PeyJFsS/+VQi961UyQRtJI4nW/hTt9dg0hKRQKbQhJoeA8D0by1/dHZVRWSpkV2bV4
jS6ggUIlclC4i4PZtXvP+Q5uh/KePEQU6gj09UvZjFwRL0trEOIjV6iyqnhvjKH7lBI8+wKSjYU+
RNF5j69XKZ77CS255YQvnA7R0me9d4/hjXxbMqxY/Dpxmc5mcpG94YI1G3JwohJ7z05bpZwZF6pw
njCj2pVJ650DqCGn8Y0+zJAFEnEcR+2jAgGFjqtoze9Z5eWvAdKgox1o4TMzgGlah+3snelDX0au
qR+mN/Dx/z80/h+xC5lNw9D7yaExzp9eoqfsT/GFv/7wj9Oj94sOe5aQFU9Yrm4tTMQfp0ebcyVE
QxZs0zIcb/k3P/iFpvmLwP1nIuEg6orOPwfLHwRDDpZQmhf9Bo+r8/avPhwXf3Z8FCZ/0rvjI7oS
YmbRPKEUAUJmGe/1G8JhXMQ8CnJYEBR+7LRg/8AAU7YjAnjhiQS3rEfevaptdyc1hSPRAoHpqCQ4
4DwV39jGiz2bjvAh8VyRTpXvLDRtjzj2sc+RR8p4pUvrl5oZPo3zuoU1PIWX+CrHG5iv2rbsizBa
IadtvsGRnXZj1Do3TBxitaH/Yr0EmCOJSrNktB20fDt5/QX2+AzNOaaNXsnuUM8hDliQNJNRgNWo
PHhjNP8rL+wf8Hp731JN9iRvRlOwa7Sg35qFYbrrLMnGb0v81yMksf44t4nwbTl2uxmqyh65y7RD
eklMyVj3PtGKuIxi9wrJhNpMMAH2ZaQbGDV6Sq/aohxien+tJNQ2LxkjYwUBDghzBgl5BbW/+jwA
qHglqFBedLpmHmu3v5tb3UPV0rrXplNbS5jIEHNVy4C1PEZdj0G5aZxNELVsLFOeDLioJrKaSpE+
tIxdjhxgu2ORipcmyAGEpXF8jiP817HjtrcZVgU0ry3GKDpRpFKkTgzLCOYfYaOMkOLWOocIU5+r
kUUUlKytfR8m2V3klDQPJTvTBTec39PuwGXXeF1s3bpUtAPQ4LpoChj0cATV3e+jRXubOg7TZMYk
4VinFeN01k1GH7Bj5gygYmwySeGBt7hQWnFr5SJhoEkPE9qi/oCnlA1VZvXew0zlV3TVl2N3u68E
fFtlErXuhgtOJiSxfRjsoQLfaCYnWwvuXUps30YvjXJ3yZlp2cW6OTK/jpzB9r1wAfFZTr5Q+zCJ
NS7TfIkGdtUIlSMmbrEWOMIX1FSb3I5eGS4GVG5FZV8axpAcejS73HT9XHV6flbl7H1DkBB+HqFG
9yu6svfTKLKjGwXyjoQzHAbj6NWceLV+rSpdfKK7QfSb5mkQDEoLf6PV9NW3Fh2nt3DIjD6stn2V
iMvZhN2SKDkivsmIOpCCpzYmxvczWfOi9sFbzlBruWZeYui+1hT942xH5Ulz3eqGmtk5Iat2t5Mi
UtQcmQBbC1KG3mg1Oc59WqEKprAjaVRDINNMia/sNNrh6is+G4A4LyN+u25tM3ve6AFujCVWJbzE
JhFem7Nh0Z0xl0EYrVqidFSj71pT0dgO9GndY3xYOwCnXlwGiB6tVa3eA3u0trgkXDyi6fXcly+t
MR4BTBDtrCtf6B25MKW6yAfIBy6zD9SZ8o6BlB8ahThUDCnTtYik9hfEVHNZ1X7PS2XVQ+7MOm3Y
0Fstd2mq/U61BuHMQZHKcsBhQkSrwS5p1VZQ8SIex6I6U+KLtcpBKbbFQ4YnLNqUNflGFo4e/CsB
EMOOGNDvQR71fhEV2ckbFipYjNrgXIZm8VDWNPRbR8UmjezIyjcdBOUlxmdOb7y39xmeP++2idHN
OhS8F/KAPs08KnsC1qMG0yo22PbSx99tUz8aiL9vGDpLpte7391AJWGx85iwrSWbz4cVf9I6Golp
qO8MO2T0Rjxhnpq3mjs+6os5zyjTfm3DEiUXk0iVtcY9BqE2VjwNTYXTVgPnbBDnQTY4x91gpIS1
ld8k2fBKpRjeRfk4HRzY4xaVX23O8JZF3zy6bbctUc/v7AL9Ntm86zSNX+p6LNc8WzkQERe/qO7V
fjZl/YKBi44CJTGy3XTALdfAUy3I85BrPdU7mAGpWAcKSNgg4UyQqpJf947yHkskOo/ToA9bJfGO
itzsLwktrC+zEApGpIwcyr5yHkqtCQ4yN4PrKY+HG/7W2TZzHz8khLIfx0ER2ul1ZMLm0t6pvpp3
pVTMDjEFEhGCBAggdxdsQ3JUbqdMI02LMDxyc1qwA2aSRtvU8oxdo2yJPR1vSGamPRMF1shN0wbN
fSdgvoZox+8p8T2/5ojzXepe6Mddmp4wFLSrsbKTE4c2wN19K+x7rbPFlTe72q3ZKjJRAo/4y9nV
y1dge+O9RLZ1bztlcQ00tbl2saUedRDue9OwonNQ682ezuUhx+7bDRFZICUZQzUm0A5boEGDTCn1
aVR5eonhFX1mlBlEklp0ZbOpB5Ey1c1tLzKy6sVMoQsq99liCnVXBlbprYPsc9Ql0BK72ca12rVz
/pjrJBrNqDDPc9MBcora8VSErjznWOrROmXx2bHB1K4ashm3jZFMS5SLG631ZqhgiKvgij5C9UnS
1GaYbITT3ib7w7cRpGyaRvU4zeb0miyg8kIiF/Uj5NzLoLc6YjfDE7+sIlkdUK44B0AcWGyLK1gE
t4jMVrXK8p0WThdjK7UdJkiFoxT/ycRS1S5rVihZvYJlHTNDI0LFrWnf3WWFG5a1LiO7u1SNWFlM
PFcMp+zd/LYw9m+LJCuFBXKElbNZ1lC3iVhnCA2aWQgivcMlwHqLbKr4PC5rcCOs8ViokjW3Epg/
i2CAmqQmVnT40TeDU5enWTf6R5vmll9mjsPhvBHoK5eNIVn2COx1BDJkBso7BOoj6UxprO0dGkQx
Mv9lC9K9iha5p00dvUOjdu4mvbSv2iqzAh+LsveNnhnEUrc0UnvX6m5z1AYS4dtln+xBCPjoQ9hB
iyp0n1WV2GwVPNMm+1RcnfAyDKyhQIb2ZZCqXQCBIPabty191hnWh7ARSD6x42FroAXA3txyi5y3
qmFaCgiNSmJeSgr3rbhAXQYppXdsP1rqDp3yMfCieg3DdQnXylx3A1hkPOWZAa/M08ZDYOOXwTOT
o06CwT8gFTgkfS8IcyFPxDcGz1oXY9kTv5ul6YUt2uRgdmV3kYS5+BKVoG87ZFk3xWQA/2/aqN3S
avde67kS1yM9vZch64fruJ3izxrSktuAZlLrh3rvHFADapBOYLAwMrZiDpueQo8IjOhSama/byBL
XVDTIXVRlmAWyw5lXxNRGB2roMovu37w4lWlnOaZSfSDTv/TB2i5NLZwYIPdcY2dyyn6zgn5xRNO
DYdGI1SMHCM53IUefSwwALYJU9HSru2ZJFsHr/RtnpTymiAYex07bF2cO8u7Ct9CjFYEBKupxdDB
clB0WK4HF+SiUfXrzBuT9kJWRbiRgyKcIY3159Gb+xcCqSquMZo/xEa8aFvigdE1SrpdeOfROnyZ
6GDv0oQrToKPjI+oQ+g3Na529OpB7SEdjcfEoQHHSLrx/KqWIQpXTf9qjOQkkgBwh+oSyUCpYenC
J3LEYoRPXVmu/BRNIn1MTJgy5ETZ5sps8u45pJf0WPVdu9EdK9sQrhfs+E+edTIMN4v6YtMR4ngS
lcfDT9RDxlaux5+0enH2mVnZroA3kHGtiKa7XsjLQZog6ZZIp8qKEIVkftWFRu+zK4GGsyaa5MWi
lSR1vCPWyhT6Q9mm1pFIw/4CgwRaUYNusorhWpSJMx8cQcY8snX81i4F+4bxDGBrTx493fqOQu15
GoGzsIGRleUFZXEA+OPytiMkWRVJHd7Q+Z92rDwU1kGq3ydgfiDe5feGVYkHqzb6/dBn1RfYjskX
4rCbV3Tx6Fy1BFRPNz+iUSX7BwQjczJbHmyrvBBSXSV0sCn6RxKs4Cxt8HDPJL1n6KY3+gBuiv4x
OHPEJ1Z1cGXHvhtAEqanZ+7nrko2BsbXr7HGc6rPljiNSuv9KpLBC0IqaxdKN1GAqpayfi5GCuUR
scYYWd/6Pgp2nlVrW4m6jJySPD6hTgunU19o5Q02JHEXcX4Z1yTZd69DyiBwbaatey7qgtVmCM3k
Fn8pg4l5cXUm+Pa3DsA0Rh6McrykAvutBbaMfcdrJH8qEDnCmkHqOlVDwnAB+dFt+d2HLDio3k1O
C8huwZIwb8PYn20sjiNXqSRcGJzzvIGy1uJvmEcOTibyAY3+7uh5YheTkw54PnMecirBGMnM5F0A
CJ/QmANEMI3eeYzq2NjBsUtWAUzTHlTuxFvbTLrkGBoRS0e+I5bI9ivTuYvZ0b8v/YvNYATGUzdo
zhUTW7bH6q7F2UNLDh/QjQibKcfLGc/fEmZKKzNy7/OuoKju2dtnURhkXjRq5+o1WM3IHHf6glUF
SqHf4/2DKYgtKEKmivk/phcIEkdUnyonyNHAMrLWMH+53R3tiflOVn1FnIaO28lwbGI5I+aGuBUI
1ylKcYH+DAnhwnxghCTw/8ed9IGDuMXOczztFteIeW0ahfpupc9Bi8NcVSP+53COJFCiydoToEJZ
pBUXOcQaS69h5rYZSOIiS3ZwK4kmGgVnjLHV/Nz+Bu82S7ZeWTALQfOOd8xzDL9iJtkp2sgUhKdO
4FPS+wc3fSznmykChA3af1UXIvme2OFlmuYFkpZK/+TYQf2V54vNi8HSlcI0csqionoATMU8IM7o
QuAf1oAt8EZ/ne1WfSYI0fwa6Kn9RTJIWnd6ax1a2uRHdoKIDOxAW6OjBI0SZAAStZaiIgkPXZPQ
XnRiiF9jH31ikitvQDlOS9jCjKc2zA/kUgfrOSEe0ylSOwMyhxGR/dQZH2j7oZks8BCuye+J9qAt
czCmU72xaO8yQPbGW0Ho345UORi6KC63I1iuvVXaHGQjKtkpC6bNEBvjnhpSRw1UupIGs6kH13ZW
VAcSB8ZtmPXWJgXI9rmJqfzggdho/HvI/lbj7cMsixzmh5NBlrsO3dXOEcyEqJsG1GkP9TAtE9Qx
DNewv+Gys4iu2lKbt8Oy4eKJZBhnpJ8zbaqOqdX2O/RtFGQpmAnYipz5LWndYWtoN3NflSiZMGis
GM5Ui67GEesu0xQxrm3KG5gWOgv2DMFmLXveLL5Kue68nJ8YupwggKAw76cibhlBL9CysDD3UcoK
EZh567ednHhV4nxfCLrcHbbMleGmwHwTZJG+UrVahymszT5lPGwEwUXB3KLwomebxkySEhFY8hNR
cGpyhk0iRYXdlxFdfFgYkaOAXdvzdKTDV/iUDzecy9fCyxTXNh8xHJMsdBEtqKlcDY5Pn2DexKMN
3VnE0GRRSGanyLUdLkFgHFRTGt+Y4CYUDG3xPQrQ4UvlxmSiTgRzaYFRrcyAKXkBpOWbyMr0axFb
TQYuSwQ3YF88HEAyu+as0p0sIBoHBHJ0lpjrmvcJNnkS0uPqay4XVlCVlScMIgnnvyrZV4xe9oA+
s501NPW5wK27b8ERV3i+wRY4GEUtb2Yomhg73jDzc8dx7brTEG0WTHI3cU7vI0L+YOhIsbskPZXC
Po7tfnK5nkT2fEUlsmZw6N6IYvBokDvJvdQz61CnWXZ24tbtaUPa0OEhq5hS9aufn4XFnx2FsWm7
TIt1jyAQsmV+3wZQSSGCwDIhDkxTu0FQK1+acAAYU9uF62EW5vwLiie8C2WB6rZhvISsMao04AXp
9CxBvTYYGexoM8XJbKzCpV9JTwdoY4+nCbJqNFtYnd46nDpmIVAPIw3CqZTuMcZbhFedE6K2/i/p
2v8bWSgNm2Hh727ukmv0I4Xo8il//V//7fiU5/3f/vtTXv3H305PbUS24jtB168//6MlT3AQjmKL
+sYgx5yu928teSyVi/+X5CDJX6TLA/H3lrz9i2F6NmlCtN898dat/3tLXvwiHCkMWvmWqROQYfwr
ii5LLrFB/2hOacwOGRzpjr08rb9rSpGdHBo9TWTCDpggAkVSeIl1yIz0DIbLykpluVkg4fHK0HBH
r/rWSjdM3+vTNEKcLMOw3pLSYV/KAtCRPgGczTDu77MFWq4tYaXrSgvJgu1BZ/oUikzmAzyNddlN
hxwzzCpjrPUFTki7czikbtpaj/ZMBusr+F7pl7AJGAY4MB/zpV4iRy89eSEwO8KSKUKWuiovouZI
OwXAo+HFT+5Sf5FE6cQkLy5lWbtUaO5Sq6VL1TZAnVuVb6WcWqq68q3Ac1zDPc99iNwEIUn3Gr4V
g3QlxV23VIjdVMfTiaS0+DRBZT5XYtS2gVsGu4ny0krmGUK1pORELUQJnopUAb+G41wu1SmIl4Hh
NRVrnQyVD5Nk/srQPNnQPzD3xlLjEtg8kZqEKPDUhi2qY+/XqrjP9WVemIPtaiwSXuF+r0pNBScb
Nf+zhX6HtkelkaOJpyB5q8GXarxMivQLfY7qSxgTmaEvVTuBpqOz1m2csvFS3c+L7Q1yUdy89GZP
ul6PmHxHGZzqK9qF9kGBWi9XIOu0O03LnfFithyGJXNPjiMN2XmfobtbahatOUlUsk9aFaewRqzB
W2t5121iPdP9YE74U+IKOikOlKbbIJfR9kv+8YbZruHPGexYYiB03yRxkbzNuBc3tKHz77XiLvii
Mat7jK9sY65XV+FnmoMu+KZBIImZJRbNdabnzJKt1A2vcumYBy+vo2tbUFoa5OISZ12VSnDZmhLt
SR9N10EYwFSnf4gFquag3fAVn3qcwzQZNXR9ZLZDNXC0bqSeQo1MLCtyFE75zSGytGmbR0bwfaok
36lFuYYUyACRszZ4VKINWW7ixpFt8MR6nLr0qjX+bzQEfb0YJTdJ6R6FeA1NMYi71tdpin0qhSDf
B5gy+KZ+RncikPncxGTdfUdOSGh3UFaMgGKUDjbp9SQGNU3HVqVmThVk3vSwQlxN/0bvaHqaOb9+
NvlY2y81w/yu0xfglQ7tEpAXWmxYw6ara7w/bRVg1gQTQD+8cE0/o2JxCTIWZemPAyEIng3afys0
x7Wuoxgps8/GHAJxTka59Or7KNqg7rFvMQCkamVWGiCGzm5J9kyM2l3Ay73+qqa6PGhdbEB0y+cQ
Tx6pfosuI7CPxkRmN00kz7vJxvFF4D88kB5tv1jFnO11xis3Y2jTH19ysWfSR665KHRVDLca7wnZ
Dp/YTeEHS2gr1RR09LXgvpAj1mFBST3BTKrN+V3nCKwa5Q/3aUTedaKMZWe1pyYelrwYArAVvdg9
40Fa1KJC8jiQXdMIOlP+2GlM4Z04eo7nRD2HAdwuWQfTkgaqruOi1Y7dZOfXQEORFoSNtnhejMl6
1IAocop3TOi4ORaLc8ZNQkNWgvUNEkg4kQ4PKjFQl1gemc9ptaE2lud54Jzh9lB4YzgcZ6BT9qNr
hQCniqWPQooKs7Fu8fBVDmsPSo90WBupgbhqoAg8IMYqj0juKljdVAyx3zkiOCeJM+4nCf4/auiT
AmBzg7PdGkRQNJoOwQy3W0voTtbpT8ybvM/S7OGOtq13U87Zp6koqFLHsVrBWiy2tgbFfDXafXUn
7cE75VVG2JJlxS+lILq1pyDlVN/rOzyNGdRuM97YLZk75lymexFrtp+BesAuUyufV73ZlMuaXhCQ
4NcdvhMJVP1rFrYZJ2TgjDubkRySvyy+1Fj3LnJdGldeqzX06oLBBzfZ3tis89d1OBCkQZI4IeJ9
Wu/AeljXsrfSO6PVolcDDxcDpTgdNr0rvNMMzGeve3q8BymudoUVakf6NugmlChKjoLMYv1K5clF
aJOtuSFcaX4ONaD3CWG/Nzm16wE91CfoZdhTWC3RzSKxEl/Zt71T2aSc1217kp9mnSEhrmcFf8fT
86PbtVMBTKMbaa+U0fckScMbzl3BnaiQC/N20KcJVcsZu22gJ6N7eVIg2b9w/MD+o8/kz8RTvsd/
gLrWKwwNn6DDSDcmWedTPprOOWtmCbd/Vueh0SxUwGBwMCgbwTEMYYDNeqgQFsXxNoywZGMxDpEz
Gx3RpFqS3dhOm29iQl9BllZR80r7K44uhTPMTzCjDSaeSIYFYWulvU7McTxjLQzX4RSgtkNOc8ZR
P3wVbZhsmfKg52EX2w1eXi5rvBtVnOmCdA3moWB4a1aXsyuhIcxeLV7NoSxQmLD8orOj0a+787yq
e7d9CWbQSCTsiu2gau04u3P/mtOzXFjjwy2pY2G1ciw73Zk0LY8gjtIn+CnA3QpPhFchjky67QTB
bGvbNtchmPZD31sWu0Hl9CdHGcZpyJkTepre43dJ4h3IP1Y6jZ85xEbIqK0OxuvEjeQOrGtybKVb
czW7+nOgCsIf2E7Ak05g3MeyvVF2w/jUDZy7NvFIhxkUnSziHnyXlssJEv0lA/0CM7wGDnEGs4Bn
Uzpnj331+b+kQP+nXoz/F9M+peVRsP5zxczptXnK3rssfv2R31wWJugoXBHo+Xi4jH/oZKxfQIy4
LkuILX5YKX4U5cR5OrqLdsZij3TAnHBG+FGUu78g2oSyhsuCP2uhpPwrRbmQH7M+wVdKGCu60NHw
mKb8UJx7PbyHNDXwDAQAdUg04ohHWlu8pl/an4sEhBVdEXGSrKh7PTe7A4VzSghc7lWc9rXui6Us
nZMx3aEHWXHqW+t6UR4gmUow/G7qOuzgXQHFanCv9KiT7mGQUsUkzdTlizXb/aklXqE59hwkm3VP
NjXhXuB/AObTTEuxUWGSXrUxCQF+glfFj0jl+oaMwc5pMrjSJCkiaRTBw8SK4GYdx+IE6NT5jJA7
SQnziMazPevBaW7rpkfPoMsv9azEl8AR7h2JKOoKdQBj4GHGFC0LPTySsQeMLk4j0AuUPR5cLjyV
baEAVWaazlxssAprOEJO5DihOD+wk0yRuNUh4NtbUM5xhoJmhq9KSCRqYGXrTkEiejQGV5GDon5j
R3OPHY9kswxTicrUlRywS52FtOD4iYBWB3GmKbJcum7jsGJk3ejrOMkrStaxPItei5kMxFNzLqdE
t1HtMHBfS5A7RLBA671VMzNimv4ijrZdN2YdDayOiSwpnihtparSl5S+WkUh1GdkcrUpHwB+3n3Q
4za5Spe4Yu6Mdae7yQAJgUokKCfvWoDX6FaxlzTjpm318rMwTdaUOQGjvJMhdsWqGfUQBWMzYm9J
nU9prcsXfSRnc9PTLEBq1Y9cGjd06cyrhKCc3m7Fl7qP+y9uaFuMuJEEu7hvEOiTSuDUpyTv0dYQ
KIOo0q1pvlcdh8UlSxu6LtCAEX0Dn0BsiT7km743zRtku+XeDuv4U5sTOrMaQG28GHrEjKqOxORA
exXqkvF+xGnPzPyQo8mrVUTob4PZRrMRDN7IJQhm72ANWkKAqR2LwGcaTzhHYcjH2uFMs8qlDo5R
zV4+MsOzKmurGCTb+wlSe4Cjma6iDx94BgQ+oHevUYU1K2K32mMLVCP1KYaBJ9YuitGVXjX9d2nM
I/Hss10EABcrChJkuOhRhLsENxImzF5HaPsnQjxpnFcTMSnpyC+2UpGHzwCHN3GeocDrWMMT/7aE
reoHN9f0dRHYENBklpTE2SgrIveDNzq/BXHr+q3T0yxcwUsXmli1VpPcVwAbM6fngNI3CuwIxUZ1
0kUN1teR+wzsIFUNcWH3hVD6ziqmeePE1nwOvTY7TdEgthAvg3odp8pRFxMQIlLyQGPeN4o5Du7z
vWEPxLt7JoOXowXk9jaMkk2XtZg4k8BoZ6b6PCk1/usLvV+ynDoIcooPQHsCiV6Lq2cTv8FZDExB
12jpAR4QsphO93RDUKzW0zToOFSA3KVb6kRONMTPJIwk8ySNnwOC325UX8jnNFM1Ex/22OigaMDP
V3GaGdPa4JXpt55dMZ5WbjjiXkA+YboHydhwhrfaT/OFpmnJfTd1DjR/E/zTtsf7j2HfjkSPfreb
WOZXQRu52iJWY8JGc+OpHKsT9JqEEyzF/wSDQudNWld2T6vctvltV//DrrxJ76senUg+VtetGLqd
UWFV+b+7b2PreykrTjFh1P3nv1P7DXUqrbB/vrmfn9I2evqmXl+rd223X3/uxw5v/WKIpc52pGm4
Jgqk39puAo2sQcvNcm1M5u4iWfr7Dm+ww9sEdpsOJ0dPWnyNf+zw8s38SDsOdxzamH9lh/8gCZMe
qeAOqH+d4HDhUjgsoLPfdd/sUgVRY5J2JRUhlHm745yencO8eYT0zgnS0fFbwRBKmn4XgAOlR67f
o/nTz2U7PJgq+dpXDULyeVGwDv2+q7vrhJM1WRLG4o3TYuJcWmvd2NlD5y40Wi99gKPF+z0dTU/S
0uiXiEESiYRKrn53N/5E9fVe5fv2y7kmYjcd8iuJ6NaHXw6Mb0RQRmlBqkh8gxcvDb5DWL3WpbP+
1z7J4k7aEkw76Dm6q57z/jKGWmM4A6otvzVoNMFGI4QUEkXpG0Tm/vyjzEWl949GKeo1azlCLX8B
f2dJ8SF/ncOzyjVOHj6RkC9OUDsIEIsvHRkS2LOMQzCU4TqTA1SZWla+M5AKqksLCDpB2XhdFJm3
fbWzYtgPaCiKIr/QbDH7tt08hJo6ldJ5EpFvsaahCy6fmzGfoN7SeR2L+jxZIQcZVMrbwNQ53sNk
MFGMrLsBXpKlx8QIB9OTHOavdR0/mrVDGyQFlPLza2Asd+7DNSBMAu6eJAPYxlL8/noHBE8Ok6l5
fum6u4iZm5GP9bqKAO7TEPXKhyqXnBAJOINwRUIkvo8h/5Zx9v75F3n7oPdfxDGQFpo4pS1AfsaH
LzJF4xjmIaOQrKPKIRqF7ofmPLhhu+AxshcgTycroX2QZaemh7xDSiJxYM6ONlVGLq/4BDTrdtE2
4AXd0V55mpPwMZ8AhWT2zV982T9U8xAQWYQQ2iy2bhaX91etILVMS/EpbnR9ZtrF+MzR1Z016Le1
Ji9ow961fXlIPLmfcffHtX6P2RW0qoWKnN56MyM7NIhbYOq1nrMI/B7a3woExM+/5x/uroODHA4U
w1heJUwEH3SqVGWOjGNH84c4u4V8VG9pOiika+OVWg4EQYvOPFE4jCXeMfg+j0M9E/5LHgDl2c+/
zHJNfn+DP3wXd7mmv1sgUSQZWeYA4giIVB4rUt1gT8DkwEssdu1fftzbmvTx8/DWI9PlTkG//PBA
OeZimUP47Jsd5S8iaYZnHdEUOa7Yybo1woxo3ykv/aHUQFbnTnwto+nAIevRmRgSJ+BFNqHKM9oN
xcNC0A9byHRJezeTT3FCVkxgKMYbJH7xJ48K2qeEWWnmfKYZROKspC1NvDYRP8QWECtsbAATnTjB
0gMqSPmzrPqc1Vq4DehhrCoPlHEHG4dsAXrhdg6eUjShuenM+frnN+L9Ys5siIdCCgZN7FWGg83h
/Y2AvpMR5cKNYIqxma0QYP/lmLh+ml/8/IPEH18TBmHMu2gQ8UFQRt9/kj1j8KAWBnacOHg009fC
NhAPQBKEfmL2vtdGX5JR3Vr1fOj66cacxNfAzZfOWvDYBHhn7fZb6MyrQk/3Tcb8pmsuxjLb/fx7
Wn98NN9/zw+Hcz3wMKJVMMOCWS4h8qS1OniVk/whYIMG0jLg8auGGJ1JRNjWWFw0IyEMbkXQ/IwD
vlSzdgldFyrkWJt7Ok3DRdM2uQ83Pt0zCw52YS2t40xf+x7LaUkaVHc5lBw2rKoHsdhh0NYEoUKF
xwdLfWCKMk+4pGtLrDQ1QdSrCczEIdPT1Cy/jF3yFEQV1phKTY+ENN4LOm4+7MDhe84MgK542GyD
vg5PwAvmbRpl9z+/Zn98iKh2EN9QWjG1ZAd5f2vTzqPcMAvPD+0AhT+pl92wjk1nF1Ri+/OPMv7s
s6g5HHPp36C4/7BPj4lOILdZej5BUOax7+cv2BTMU9VgbUWQbREdhiG8mC7a8HvooDAoTRQKwmOD
VR1pNPNkSG6K3Vwb3vQXX+79sHV5mRx8wLy1THR5mz6WfVkyAFrEkeAneXaccFra2mmuP//FFfhY
qSw+Lp0uFP4Ww6Ej9eEKNCINe0i5IXOYaEkCpfNPkpAf2JiN4mhpKvQ3Kqyqp6y2Pydq+mQT8MYc
jBOOVYDwmfOKeUBcbJx2vGbCE50zrUOQAJj1LwqKP/um0rXYFHksGNJ+WFw6Wt4ZIc2B78qSVSVm
SJsQ4xPR9wmZ/8CkdbY6TSIXVe3PL9Iitni33uMZEgxmpWOzK9Pxff9Eotbt5jIsAx+9zH2gHJYY
WrheCS5J3GBJX8d5/RcfafzZZ0oDFx3NS/YZ+8N98fKJuNXUxlBTBzvO81iw4mo8VvQbfRFT2uf9
SwQRkECqpySWT2IW8LK0544j3jrSyvLSHYvvCWNOo3ToOt39/JJYf1iAXUEx7VHgOnj+qNzfX5NR
qw0UX50GEL73mTRAwgq2QcLrAlWAvIR0xgfHQ6RGgbYtOvazfGzLZtwCMP3aoFteISi7oRP1Hbjy
NieTNRw4QGtpfI1TbVehDVvZJdK0qnyR7LdY7sPtwECF8LJ0N1eWOmL/BXSEzHka+3qb2u3rlOt3
/WR9JenDZ2qyHZp0a4W44gYTzO/Pr4Cz7PLvngpXSI4tDkUu7w7G6vdXoIgRFLpG5PjAIe5Ebn9i
5rB3CnIkq2rMUCrDCWjt6KIawwyMHv+kJESombJ204XtTdeoGzo0bAYajpM4tSA5NWzwDgwZjNcO
6mM/9xjCGmZzDtsFXTaxeNdQShsljcUbQ76kpXzmI0/I0gvyItzbwYTdIuILIzT9NEOJDTxmSIBA
KJ2uGf2Ob9GiLehFfdn0sT/wRQ09B+0ynsckOacZk3lkmE9D1/maaYZELqld18kLwCK7mjPIZoTX
tsKeP5O4zXB+NGvSaXVjRagdirV8hAqYwiSz2rU5krzHv0JvVr2Q+nhVZg/ODBine/2LW/GHOwFe
l0O6w9FuUc98WBl6WQSFAzPDN8W6JurW2Q/lvkZSTo7J2yctU4uPlKPf2iG/ulZ/+9v/vCtz/vc/
30063oyu//hP/p0aKPRPKFr+eQPl4ulbND397bp5+vbaRu96KL/+6K89FFf8QouEYy+ID51euMvr
8BuLSjfMpVx2OS8Yy1n4RwtFyF/e5iksI4sl1lmO5D9aKML4hR1JsPexC761Xv6VFgrgqY+FGH4y
KVGmsGpRmP5v7s5jSXIkTdKv0i+AFnBydTh3j/Dg7AIJkmngxAwG9vTzeVX3bFevzIiMyO5h91Zd
1ZniEQ4Y+VX1U+eKpP/XO0IGr3paikVtr/lFd21Kke7IH6YXBn9MS7zeeg07EeL7xMRxzpyZ0kby
drBHxwxTt2tnF0nVcMcNZ3Z/2CKjp6XuI4ybjbChvteYx18Em8SMP6oJX7hA2ox2bXs9UXUKEbZ8
6OA6PAceMmif6uHS1uYL5TIT60U9PoFtowN4qesfDVDrIuGo720Gy0d/WdKDFJW+o3KkVCuwXQTT
VNlXgHxTY4l7e4ZhSFiJ6XBfLydGSKMZSx3O95FOBjAlGYUJKB3dQz3RVPUwRJidDn66VI8tkulA
8ZgcHiurgRsC2Zrq1wirI9N9106Hgy3KoVs5Q9L+GEaowfV0NZQdp2LSeobJGEWwNm0aMmbSI/J+
nov2x5Vuk9E9PhXDC2300U+zLNMXjYWNtbepXyNzGDBxF/lo+NssiiQNlT4e1IsXBvV4XAxv+N0D
42GfRzD4KG1tPTW+Tf8mR/d7253JveX5IUUOQ4U30tbcAdXyv5hvusPB8Rl0rrpEdmJVpj4lnenU
Mj0b6NW26AGgpNhCyGE9NZ9c1WTv4EvEj+4M+T2ZKrjlvjYHcJy6nnzzKNzYq9rxxOGp39VsJiG9
07La8Vuhd6/34ITQzjjQYJy1rD0Dli5h9eLslEZVfCw8HA/AwQzm3mZtHg1MtFiMSlzDi4gog0tm
Eua092Vxq3EnkagD/OMw3Pdcun/B347BH9h4KO/Ft654WhjxFGTxqgatPBP5I/FFsSKGXUDW5ufW
YeLHubFYKS6Lqfk0mylBe9POb1FW4SspXx5yC3Sp85G2gY/lirJJFIIv2m1xdInB2OeTJ9Y4BbKd
mS99uu6rKDv5ffVwVbqnVS3TM1YF7/46wHiXssxo4syUvwESne66Pgi/ZQXzCm++Ub6hIWkMb7ZH
mI/C5ElwcKR6jUKvOi3+SLqHdPOWeXtUtWPsgpBY5mrG0HEGLgVGtq4fyGuYm6yxXKYveW+vEFSe
Stcd3qUbYPhtB553ZqIe9XdU/4RbDHehszeTavkEi6bTV202KWTEKcUZXKd+ThAa7Wk8mJgJSUdq
6sEQ8sysPlh2SH4IQ2D6psZs4nxhib7ZNkCWpnM3c/5Yp8XVhg1Z3Um3OB/tjuPWaF0AwVJx2PrS
f3dgVZHKCUVgJLuk0u4rcI3OuPVclcotGK1UbzF6WR4uKQXQmuktrc3jPM3mOp/4oleE+72Cd90W
9XTrdoHQN8TuSJ1ZXW4Chov4fz2k4VhgSgqYF75C/6/DlRnQErBNoDM3cTbCKIjrOVp4yvAw7aGv
9E9mTiFzSANb91ioZg43mdFTIzQO1HkPJI54sRkqAgKiPelF8kHt2G3y4lc59pFEYU5ku2qLDneS
oFeWUKm5wOJWoYHYCS0Lh021lL8lLTYxxu2RQt+8LdSBJxPXIy3mHB0i6d7LIatv69rzfnxjqu09
09ooO2rXk19OVEoAQGnRXbkt6KYZ/4lFYrKfawyuz52LQwo3ieVusaGJvWe2HSfeECt74GXw5RaQ
hDYXGKAEKzz8QGJZIAMV00PZNTE/YrW2shb3SZFiP+XOXTCVzWs5vg+Y226GwqtfG2BBCJveON/q
0S6OtXSiaSU52G1Yh4SBOTMa977VjzdD1EV3mOgQ3MM8jba54U/3Ht1YsZtyPcAwl2Lb6j08L9Q2
NIeks+nGwAQFOb+bs1Pfj1Q9UzjwRCTUea16f9xaEizaUkf+QWej6JH4vLDaTIZJ1k1wB3cMe8op
yaY5cYMEq3fmrKMz7HojJtgBHJsMFi5Qt24vRt/oTxPbzUfGffZFpVZx8DHtbwmyJg/sllm466xA
PTVWPn11feb+2JE1Po2yGreDVz9GLEtkxLogUpt0aB5z7dLtrpa0PXbQFMwdLgixJzfprCs1YN3B
7p/FntsPTuwh06XbsBxA2qnSfxcESLq1VrU6FT4tQhEJjFWdcZlkUGLu876vPoKgApvX4HcY9yYe
vU05lOG6JD+wr6qhIVybj7ce5ILmag+28u1s8QP3prB+tRAgzxpCaRrbNXHB81w5S7tWcmmeu3Is
aSCdqJAmA9C6B9D9wwk8JXygBtsivUZmn314huHeDxSI3OQddc50s12Z8H74zdYsz9AF1Hs+eBgH
RwxuRwxY4lRZJBlXHba3B8+hB7bKQHCseuytFz5L/0GOznwpLOXjy4Bi8GDTBnvIMN0CJvJpbAvy
X35ol8949vPNmFRZf8u3V7+bi7kwce5JAMve2zW2S1CqaX8GrHx3KWHrW04udEVGdfU2W7g8usjI
0kPduHg5LC03RdQMvG/B5KwtM/PvzfYqMVc6mu8tTVXvI9Fg42i7jfywrZoHTEAtBhrXUCy3Jt0x
jIRjVP/ld4P7QUnHcD+RDXQOWIOLt2YUQlxmty95GXO3/mpG1X9T20Jzh5oa7BQKQFjObxVWNhe3
IQDkOaua9aUMji0pdWo4POajxMCwCFIWKFjMTGqlh7VsMmKOMJ7ICye9d+/mhGi8UbEy8+Va2DlV
3ZNWhtgW86crUlaCi2cLHXA3L2P/22si7pLFwP82nVT/9sZ+OJCSbc+jL4Ojh+h8XzQNjHoVzJD2
PKrknktCfLuUsg6arBNzZ/oJOUhJTnCF4A38ixlzGke+YrOZ+eXQzULRFJ6TlP94jX1FQPIrlW/b
2Vk+u6imPK2bnPmTYunku1cTVbZKDQRXReh2KY7XOS3uLEAUJ754/BA2f7xmWgxbYoWPpL50TJkf
OJim6ykD8kIqlZpx9Lpy4WEl2bazo7z5iApalmPPqcctdoXMwi8CgqTHDvxOo5ovYgwm9WcxewCH
E66KDkb+zZBILTngGcmJ6gTLY5zsFYeAj7TB/LZc647N5rUPRfeNHRVitNPg3s9Sj9tthLsI9OQ8
naVq66cmInm/krLxbpsQ5ik6YaYONeQbZ2O7orlj1Z/XUgbRsuew07QrhjTiGZ7add0ZWSaVDTKV
9JpFsjnh0LSe8aVXXB/n7iPMcrYaoKo031Wd565bYmqffd94myDNFaDwriguDhhjegzGinrYdEYI
xCiMEb2XFkq8Ij76LJY+esLEXYQxN4HlNptTk87HiR50Zl7umwncJX0sQJ/edW5K7SALTPjTc7bs
gaaYc7JV7Mx3tZi9Y0r9mLnKqj7cO41jAMwOUkwFgt/Z3szgwXh9D97Es2RA204OnDqsR/sRsbVd
t77QLyk13LCg7fAO3tC1Wcjr1H1p996wNSOyfBxJDBNSYT/4M14H4T8OfpRdcgqoOOSFxXzxnK74
xjPjPHR05bETOQ2kIsyy/sYbPOOHFS/fsj/7W0hz+a9gnto1RyHvGT9MY23BefgPph59coh5kMVR
6sC17GyGJEyEo2PqN8F7gYPzrjKl8dUQV38055QaAlv11ammhuo3VZFZewYs0STk5b3qB/9u/7KM
07wvl3I4QSktsIEHqcmIAx5qvfWBw87rrGYV2ndd5e8BVxvPvqDIcVOCxoGM7fWnimBaTBWVacYd
WdWNNWtJF4ddlkezoMETHPwwvy4hZjdKkJmVB3PQBVjKsmlbWE17ZmQcgH4XmdyMtchOsPTMg1Xp
t8nsiRGLJoOXNzO0ok3hI2nM62XKB8uQYgnJ4IiwdwmXivYARj/hX5IL80jPJovXyjHSF7uwwpUr
IbjyFGLpUdHvJnD3ynfkYRKJ2HRhX25dVLldCP0Btt+c/EqMVl1cu2H9m0k/r+TE7RDcya6poE+M
HBGwC02DfyuiprmbroWUXd6qrTUb9d5SZEc7EehvejfbexqV0C8Arw6cXYLmyWXv2/rhqPZjGYkP
jjMqbqL0IatZmpXmg84LwMcRC84qGJoEbgdYkjaSqMVCq7O2BTs1ZJ31mFEzmoCtskCVUEDLiAl6
6dj/FB2WnU0+lvAOc0C1eWfDYKw7vz+OPCCxYczyJDuCg25T5EdKKIbPJex+ltbgbAXE4bqdchtr
0xqyySzlcTbsBWesYKYHpJ32MrSjG+o/6g0xIeofoC6uCLzZ2wyG6X1fmXMYd9NEgoRC3TPIZUxv
Rtvl69CT5sVbPPR0I/fPTpM88djf+2Bjh0m/YGomCUCv1SqEdIf3vSDYZgHz5+u89tELhLVuydOb
FMJoEef0Kb40zkS9gfAjQuEVLsKo7p7BLk6fWVtMd/SuXUuMoMTezIsf7H17dA8NpcbOzpwUuTkz
n5Z3VLJL0Sp5KfCT7RLV7zVzPE6AmlCGWToaF79MKKj1vDe8y8NXu6ibKi27kypzqqwss1xYYhzx
ZUeJib97mjD6T80WBE8I2NlYTgMda1fzm36kO4p9Luy8Ncqj3nalACBA2A+D/1LZt7gFxqc+4GyO
Q5CYumZC/94lEGB7yx42dQXQieiA+qKlW2zLKJgoPE/Gx0R4Jfec3tyCOGB3I1+2dQzLfw3rLipg
wgoxrAc5LOaG0wiloFPQbWgIABbQaKvadEbnkcgudA1UBHYgW7jVpTHsEhAbvUERdV9xeFqnhh5+
I9/2AQiJCT++Zdc1N5OeiXbPbvIjbQN6C7US0z5fsvpjEpLxhHbsMiF9k7firspb8yXJhobjd1Hd
Nbljf9ip4V/svLR+VG401qpwywrXId/DQXO72fqwb1Dglil7KbqJYksjBOn12LaqpsJFdOGmhVFO
51DZLW9D2nrQD7rhQGm7zX1hcuo7iwmrv78OSD6FZ1iboaCkFBfD5FMN5YL7oKW5Nx4tNRNoGQc3
Zn9pH9My6D9tgCsU3FjV3vayD5k36clRqq835TW/Yo7MWbjXldYaQ6/3RDVfj5OTMNSNmGbqRB0a
Z+TGVvYS7GB/OcbWIeMCIGWs6vCFpmTb3LXsms5KJeX1yCjO49hSJy4JgKOw6QUzm7moVT5E5u+W
rrTbkJT3qznRdbpKITJDBe+D/C2rM3lkglNjeaMCiMYKZttHI8id6ok6ruURQ+AANWci/U+98FRM
6yWdyQOMBtWjTCV2vRO8k7Sqog06pUXKg5E6K1JmAiOyvOWGS6f8iGp2LIgdGCgLQTKdq5nxROwk
PNNzqGKOkNgbNIWFvHKZvGXJ991Tp6v8YiWO+13mOnxlMkM2kf2Ik3Tr7eqibG+9qAUVKAU0ogyL
6BleHiDOKC1/cqM1kn0HCYbcQEqNCHEBZ2K2E1U0glmSgQExJRsOkd+O8JBkBjAIxUFdr4VaMI8o
O0XWbGp7d826rkfG/uLKllUN6TzijbhkM3fidVd5OgM2MCtSfIqbWA4bZw4pqwoGcy0Lrw9iV7b6
zUm661EZlYQ9R5XlU8E40IsTJpaXmusL/7YihR6nFQ/min268I+dV7mfwqCeQYIknuKCUjROOGxR
M3phu8JwOx3HqL3aI6321a+s8G0hMjwRP0qNuyYsnTlWBJFpHnfUjG2BRkmaXLU8cBIvt8PSYhVP
Zk0VdwVBDgNP3pP9oghLfLjd3O5qX/u3Ja3rQGVrMhbbPtAB0LvQ+/aZfxgo1XgafLekny7jzPOW
K4Iq4K81nuDOd+4qRJZ9WeHv5Ql2yofagLVH/LOTcSq5e5BQF2CMLenXZ2q9BM7Wjo6xdQVPpt0M
VQO5K6E4ZxBosknVYo6Rid7oysp3xRAQ2kjKZHrHsk5PXTKH6kXPAT51X08RP3XgU4dsFz2KVBDN
DNCGglOyLlPrKQzCdNi4fehzTiiEc/LVoKsVPvj808YCztwimwxrOwuL/s5qcCGFRwEick5ZjYMf
JPfxPogp8Cz4EZN4QzJSu6q2/SMDkSDbkqWrd0xryx/KvO2bmshfjhfrD0+yCqR/ybToX7oIeko3
mvC29Zz4/JgoTX5cGCAxecS0BWuCR4VsWbLQAShDStv1IKInosjc5ieb5Wf2rfwrmUec6dq2O/vM
OpGVCKcWjcmq8CrrEE6drHcijAYHCvOgF2S9KfiWGI6fS99OuYxlkF5Whc1Ib5X1AZjX1Gf2yF3A
KEDtSowlDSgI8UnFWHBCzmJWiss8vMU7RagpYP1kwc4FEbKK9X+hfhtj89qrSSbFZW0xsIG51Jl4
igYKwqkbGRnSFtO7T6/1egk6/c6bJO2zNIndiFYofW5Ne/A4LwfIP4ajxE9iZXm6nexrIxPgUGrM
2ZZYV6Z6Kqvn3BkwS0TNQiBJ950fj2yT7sqg6Wbn+uTqDFuRhR9acz7PNSiG6y3SoC9bTp3YLGVT
5hubhOO9DfCm3YWcjCRXpkitO5yMGpKFm9yMEwnpWPb5sunMHKv+iPeXBdW8YrRZVZ0BiW/aEv8z
9XkePZw8V+bPEpdzyxwtkybDJBX4rANLGoW3aoHhRGyhqLiC+Yh5SU6b2ip0SunDCaewCfVNMCya
Gz4wfZAquVHE1JJtWVm/h8IIHyQSLpPH3AepbzT9tDYBvBS8xiU8TKNsZb1RLJuUW/SdcS+4aoQv
dkY0T8Cw4wKTA8YPR2swtlzr3ey3i1X8gyAm0cM8s7OHcqJ+lt+x163TMcgeijKc9xBk02Gbkid+
aTPdnpZ5EC9073CSrsM2vyu78q01nGTTZEFAPSKbyCa5QrFE1xPO01NSfyLoGD9N1s5P1NxqY03u
Gq0/YNmdKSVEwVlNIX1T3CGncE8Kg1l2MUTfHObkl5mH1fNiTjKLiXKrDZe19EjSNQoBlV5/IqKR
DuWivs2iWrq/LKPDoJPMznZioHBipOOSWPP0nTJnW6+NqnHIuAXjsseNKx76bmwfYO/wBuRkKtf0
SNmPslOs2f0CpYbCD2s6pZ2mrZz5itguYzCkcWUoJlFWS+PQNnG1k+1DHl9atJrBYW4JFYW6QIvS
o+2yWMNybq/u472aAAkcmWaGLrEW2zr0c/qYdq5P9NCaP80k2ziGC5/UxGkZdks5fiPIdNwEOvuN
M9nksbflqf8IhIuhRVOEJOukL54k+IAnzqJigcKWBkZsIkUZHNu67tUPzOZ3ZHNyRnlhDhCHyqx+
2Yqy0ZjIDlV7/sSwn9hHF1MshOGuYqHnRCn9avd/RXn9L4Np/88a3LGfA3bAcvJfS7Trzx/5+bfP
+udvt5/iU/5t/zn8KrO/SLX/+bf8w/Hu/B3gMkrgleiAP93BvvEPtdb++5/uaHTEPwXb/yXXAnh2
cLyHHqZm7w9T8z/VWvPv5lWCN+lzCcGKYWH/H6Cf/92U5YFSxVQSRWjCDP7NfzOAUZnDo8SevYHk
h1dy2vluurXAOBeT++dT9Rc5/1+Zo9b/JgubHv1IhMGCgPeeX8VfZWFR0UzdeirZeJxwOZA9zFAC
8ejR3OZtCZm+Vxij+/E1crZGsFyACplx6ryVnELsbDpNZbv10S/+5du7+9ND8pdPdTX3/Ku1BMQH
znjbJYvAP+AI/uunStqsifyqSzZtOm9AVB9KfwRrYQdbS8gN5Oo4MCouUv722vqLZreeE/c62wC0
xB3cbu//+w9k//E7/7dPhKAVWh5wb/y+5r99oioNWkJ8ItmoRac7O3cPovbcB0CiyYVaYfCKnlFe
kBIZK07+csya6+2HaCBUIpL6S1oTcq+9+6S3ypODRnkiAX5og3rbTgSamF5+BNN3yd6G84Qa6PqG
4jxCR6zuSFw1uAgNH9I3Ng4yN01mSE40ljfLuks9hkNkizDbRy3TVwog8tK9YSy61Wl29I2H0W4e
lqRa28Jdu5wnvXDeGJhqRx1h/7SPwk92SENn5dv7jAR+J99muv8MiI7L8GXUJz/QTF9H53htPbLd
fRG9DHp4JTbe4udRKdyh4OD2WMP0IZyHuByaHQgL9BAK03pxv7hH2iduS1CHzPTj0Js3VZAcvbRf
F24CWa88z974iFR0dJxgO5Gq8guYKLrqt9dy060B3Jwb9NpmJnGtfNauvBlSfwt+fwqoq4KVVEJx
apsBYESzUt4r1q1jXnlXYtfBKj3u/BqQObHMvoxpwqTgCJmaljqf50hHjFW78aGR3j3fJ3Xwzl73
9Cks40DF9QTbQ66tDkD3xSZeUC9kBwnojwZxMjPCksabOYQbTK2xkT0WSI2GvJ3bYEux+OeQJ/iR
v4Dpfij1XcthJUJG8yK6qATVdr7LZL0PLUgdYbDNCOCJROlbxrHtY9YnHwI16Gbu+OYCXVzoTx8f
7GVqeojftIL2CdIbIcFv4XTkB7iAVRzDWzBPlMb8wgGW3tuLaD4jsBO0PnvXl4ZGy8xK0kMwuo8B
9JhnjAfDQeGgficW2TBWiMRuHAPEeVrCxAvJvZqDmZOsrKReOqBaFhVUxPCqRyaxemv5Klj3cjGA
EjD8xG8N8OMThnW5x4utqR3HNnKTDm12drRz8STTKbkMwUNvV92fltH/0/ak/+82SQLV0X+7Q15+
MlJg/7oj/uOP/MO8FFCXx+4FqdP8Z8zrz+0wtP7usqu5nmW6TLT/KEn4p3vJ/ruHGRSLUmBSlcCO
+J/uJSv4O0Yni9hYZIGzZtP8n+yHuAn/fT8IPchCDjFUGpZIm9t/3Q+ywe9CtwGxDgaNSGRTgcZj
hmyYN2kgU0p6iA9oKo43EZj4amPTBXy2/Lrc4pjtTkWeW/SYmRX1T04WAattwcPbNhf1VYidVe7s
2sP9bmVg9CIuBxuBtmYRNh7lkTtp97ZkXolnsCkPmVOm+6rI5V5XAzDIaxkok936knHQ6Fed6Ido
7Tku9+uK9wqozuwyGrFdKeuDHZbuKSPqQ/q0dRVnfce4oYyp6NDz8a2StZmMX7z/kOi5bERfWSQx
h5g0ntI1nR2pcbsKmMXSnDmj+K+AgGm3R05grF60nFUptpIDLCBg32sUh/wl78v3cTGzm0xmT4mE
geKJaqD9zJefvr+kJ9cmPkpXnf/oL255Y2a5vZsG40pszRBUWEEOw2wYDPVMwBey3IqmXjYRv7oN
rZkp9zaZrHCyjA+yZvxdROFN2EzlyRZ9RqoD7p1oWX39Jntg4JofaqstNzQWzR/T0vjnlFg7eCLT
qLn2+QXMqZy03LFogLbFynSQY5Vu02nVlIBXjSsQjwXKYAEqS8tC8pxGrrnszlRvicW882e6K6Kh
LKMDw1xbMYy+8kKR0lD7Klt9NkE6docR3f3kC1AhK5N04QWBhwFp1YUDjGoJMuo0Eqlh5AoEmMtx
QCEsbA8R3alBgMfx+8ANt/UMkkNNgEfAJVIcbCZhl5HBrgCFkFjApgwDHUFD2bcZ4esPY9D2NlFj
vauZx15/pAFPHHzg5xa28cbrw+lcqGq49FZQ8lWSLp5X7hSCyrFHOTyGFnrPqqKt4VV7o//StJYE
+TdK6z6iKu7i2+TH1p5Mmj0WunJfRe5IalGjFvUmoAyy3/m9AnvMRSkVHffWeWYsyo80bHVpNag9
5XUk7/vZQ0qSek8Y2LxuxNOWsUfFFKy42krboLnBjdDjV36EJ0vachwAoaQvzQhPvinm4Vb3/I4t
hP13Rg/6zmskhw4XtEEo60s/WbfOPFvrQk8Lwfryqo0Y/MrgTsUSH8VNVGIw2JUwgnir5wl9SEpy
nowjgIa11EAvG012f4mNdsJCBAvgV5An78zO5JkZbX0zdtFEVSUWuVXO1GSvic/DGJhAMS4qVCvu
pcklV0BxsEIk9UlnEOe39mjRzizNLLivs1K9WDQw9UggZXCjIku+TbZbY52RLXODgAHUyWsTPR3G
kFEYeq/ws405OOH84Zp8SY/458a14lj9U8ImRIe2Ot9vzyHPfsSwlTuj9WoIsnmHNL8OyHIxgCFu
HLcwvx0/SaJz3SBZrb2ZG3IfNEWEUSsIqyOFnZkTm9YwP0MMsNae7umlsif60dOGZm/C2AWVUoS4
GWRqlukVS7RZbAJPl69ZNo07HTH0iVnsX3QXjWfL6dUt9XT1cyk96pOx7DHGD8vJ/AmoY9gpQFA3
EJ6In6dGsh36nDMESXnn0ljT/FWrxHovJU7qQPbefuItYoVtBQPzvn0aM5t5fWkuHvUopds1P2Lo
G46EfvIrN9S8LxgY/shxQoixTf5iK4EfA5N/cafdJBxPPWUGxAAgCioUOEcBFj3MqgsGEhdq8rcB
RQacxvFFrHuu8eMmo6bM3yf2RHSk0qTMbuoqaO1DxVix2nh2NnIULMTyhJPnaqlMqdKhcotLFl5+
l4mS7dVi4KofFTcTDg22F2jarZXi7Fg0mRi7TZrdzAyNgcEVN1qKS6mq8ixDkAsGfXQkjlwm7g4b
z6oaVXuE8YvWoCN/3M3TVN2IQo7PmLUEYm0ENmfhyvKhJT8O2FVeiZUaaRjgyNc5J4HrdNkSUr1S
FMo2yPeFqMcqpq96/jbdjuDmUMzRF90cGAjanPa9VRsAKsKoatbRjqkvNnWzmqmlgjLq0n5NP8SD
CgJlb0D2BukpoQcDcLXWAjGQBT67BCDIGYLSOnLIyRocxtZ2x5vSbcY91mLeAmVUpwbIFIPqKCSb
Bzs8zrFmMIhL+4dg0v1WldL87PrlwR3oEMCWkehHcyoYkzGvx0DX5zLg2AuQVK3spfA/pZjNck0X
iv8qtaej2PXbXOwZTQ/pRnf+Qhc7BLyFNTvvY3Me51+gScxnz+rHx54hebFuhrl/9B0zOnW8w6vJ
sN0HS3XuKy2f1YkF2z0qULwrL5cCnOx8s0SlO8Xa51IRegUGp+Vo97ywiKTl8lOVDW1y2nHnmY+o
/KsFpFKMuvkqxQoNX85bMKFGvXNL1/nNwYkDcWuE1XzvCDN99lL6P/nbzfBUWJUvdvTUOc/5lLPe
kZvrsZA115gE1o7+YnDLgtg82NFrW0bV3sJBQysM4GVnj7o2JMRbkmRa+ynntRWQPUC4qlB80ZmL
w/aiYND3m3BQJeJmYV5kDrYB65xGjZPDXHOGiLBB4JHU7x0d9BdtL8a6EckC4Ul46lFBRP0E+OPZ
sadVAOpEoIybZoWBLy3trott2g8v/NTdMUlpC9z7rYl5r0i1+qXK1EQiEaOAE4HhPdg3c48lU2on
SGNwESB/UzNlwfYXy0DS6qvxJpjMdonxDuENE57V/likbgoubUNzVGnntLE7dt8h6aZ924EL1u6w
YDOc4HVj+zY8FbMzLdz7uvyKUDfFu0c67+yZ+fBqZCVqgDmr/Gawmudw7Dwbp3ImrA3F0N6pkirf
5NWQa7wT9Y/pUoLkjYl8W+qmOciu4DsftK9vp6IFtgERq8cahr5X6ZxBf+lz+9lSntjd5RnublDb
PSGlklJA1NGOUX2mC6lRGBi/gA6yr02/FU4hUEW52Bhg6k6GG4pnDSHwly7pOcTTMJbNptHNYsXZ
UvPoEdzu1ksv245VGeF11Skmnoxy/Gid2Fw4B62TlwHhAmxHKnfSv9qDUaAhS4IyWeZ0x4F0X5iF
r1Yyx4TizkxPcAT5Pa2apKudEHMHqqm7wfrNEphVhXods6jYuKKfYvZ91pOCp/IoQifZ96Jszw29
xU8I6LRhIjitYblOdD36ZRkraXZfAos1NtQ0db6nqomxMW+SolneQTL8GrKEsnswmFBp7IFK2Rn5
CTNC6P3hq8IukpD8QmlJwWXDI2JSQTvPm+WyG72mXWNwK58c784ZoDAtUH4w5UpKLveib0trNWLG
oo4zqouvVnjE7THDQj1xG2QrP0wNfFZN1O4l20XcswccJlDiD02UjS9Jj9vZG0t73KmcU6aR1qfB
xtm06noEzL2hqhALbF1jfqR8dXzCIoK5w+t8hh1BUX0RwpdvNkEmb12hOfySroGhnRAVf/cUyntW
INOOtem03P+LRt2Z7RidXdPCTgviNbqDyy0fSRaDZUt81Fu8SHX34WdBBj+zzWHHc0Cb30M0128t
At6OoMeJcOLF42CY1SkXfV+rJxiyzplAvH1XTZZ6Dp0QXcdpNWZfR/gz+ywurnjIjGiHJWfa8/SM
RNBSU/+49F9m+2bJohPBNwrCzCZAIANOFSITzw52sVxRsGNfYedlWcG9N1Qg3sCA+ADjRrpQS13y
BfaN00P7rg3rkwIMfbT8UdyMdnVtJgqvR7AB3H1Mr6QtORw4ZNU5EwIOj2Z1RuPDm9NhyTZWi52Y
0S6t3eoXi0T+mTOZuClDM3dIvXX1ht8ZBqYhzKAY4hQEQ0MzRbK2kuZF+flw4mWl8xo1Ph5axzpa
1IKgGxUunjM9blhVAYEHgH/p14sSF6fr1Twrllk856KMfkTU8mpLIF5fk/bys2y9yF4FGe3kJKml
9QU3ClKtCco+Mwob7yP3xhHfMYHi6SQTQK3dUuQbYD/lxcmX+q4J/NyGv0BzEIghFpa2AYxIpJmx
nNF9RqUJyj3U3gfsruVrKjtS8m04iyt7KP9q7YZ+16kUj8i7xZudVOYjDmnufwF7yC2dMMm4w8yq
kO0Duy9iXiwKOqlMhoOZSUnXhvA2UzX2mOWNPQ3hc1zXjzg2/4O9M1mOG8nS9ROhDO6YlzcmRASD
8yCKGxgpipjnGU/fn4eyuiVmlrJzc+0urlktSimRQAQc7uf85x8yifPpgmQGqeO6NCsDsycESxdz
WGRAZFOXwZ02ov20UFxsGjtbojXD+OjdNiqKRRQH29pych+m+BLuLOyGL0J4Fje2wpoyHsADDMPs
nv2iPoUGH4PKCMX6kEYEpo8cuDPTsQc5YkPGAw1ov746Cbvt5JnhPUDn4+8R3c8YO143OjgCyhKE
xuSMfcK9K8sanSzH0RnXKjzBXQfzkam0tQucSNOFDJCgeP/9Ff+EtCNjRs0Nrg8o6NgqU/JnARbD
yjo3qm7xictObnGk7a7MSBn7FsI5xtgp+EKZQ//+ogqW/gW25mMaYKauB8IvhfFJuStjUS6Bk07+
GIXZibqmu0HBg3BXT6KHamkI/5tn4s3Gsf6hSfz/UNzDXOFq/vqex4RutsiJv3U/42oYP+CqYaoB
wX8eWD123WvzmkaMrP7Dz/6By6ECVJYt/EZbmUooiO2PMZUD+IY/OhMsXkjnfzSFBoAdj1ri1WQw
0bF/smWS7r/4C9f2cEqnuVM/9U+mVM5nVI7lxOUxU0JRSEWnqynOT7YjmOhUDTCU9MPEyjOfQO2R
loiOyfcCx3olxE/eCoKsVtCOdXIbCJtZ6+lsy51hEjk3Ws548lqYt+kARyBAnrKOqsd+KTbFMCxr
RuIETNl1dnC6aniL4r47EHpNnnrShRqk3aUwMHtzreWgzcSWrV0n1u8IGDd2RVcvJN7Duchqs9tD
R+EubIKPEF3jBaen414rquZ7SF28BuboGULkKvMYH8wrHZcc0jelwEianCzK8nqXI3aCCJPH27ZL
3AuaTXIUowXNgUg0zH0M7z1R0cGUA7POrC6A2Tr3+j3ZxDE8SLv2eTIOlJ0J8bDZjQtj+FhudKxJ
dnDYCkmYAcTcVYR5bQYUihNeSMpK7qL2WYXDjKiOuDe5wiDKvSXSPdzYdVXeDK5Zvel5Vl+BGpxM
JOadp18uoGeK7bfH5+I0DASVWfMtJEPsdMz+honIJUkfWP+YTrczmthfsDwExkgmYgCJYsvWoZZX
l5U7jcS2pYH90LGrnfEqfAAB/29lmVw0KWSxysVOKigsRY7g0NpF+ezha+01+oBnlixfNUObL+G7
Bi8eojp6Sbe6WVrRl4zLNRsRW1Ifm2Ru90il9UsGaVm91jsj3Mxuh786ShzUOvmEoJmOf5+F/fA4
0ICSAh1aKYHXy6BIyeKEHlc7lCgmvrVGF6z71JIwwOA1EGYxOl9G+DsXuPiPJNBF+ALZfCNbJobx
e2yPDVZD6YyjdYnXdom4wyd7rXgZsESgD4ZTlwk9eWuq8mvnznD5vMXxcbNK7/LUHG5aqHhPZTxy
SseRfiri2jklkBihsKJkpKU/BeUUngZ9KnZNbWh7Tx+p70JT3jpapsc4P+VoAsyUFY3kDRf7AC4i
0sDLbDI517NUQgh1cnGal6acYdUnzlNHcJVcI8GKDmUdz/foI6YDSIO4kSIjKia0quEVzdR4DFJi
a4ylTXzImd3LmAcjWl1cmdXB8QCADBmCDmC8NrSkecls4gnXKWBFvYb2Y9VXnp4ywwtGBJwbnGgg
MaWptk3xlq9xcHcrrAE5XYpF4zKFZY830MzyJ7PUsDMlaztY17Bfom0bSgcLlsEgK4+WBpIgWbRO
IoOtFuvuNdsFuEoKkeYqiSxvBRczuxm7pTsNHKc3kxgovfHumO+xjxZHM+3abmXiwPCN8JDwWocL
goW6SLA7hn9CZoujE7MqHO2CGBiSTEalvOWiRXKNz0mBlpBsQhr3ftsFU4Fbo8g2eFJNe8cZiTPs
NJINXZVxSF1QnSKVe0iUjtKRgmTsmF9Cu/FURqJMArlzSjLPRUSCon7OUlSpigXF/SU2r/mLVWVY
OXQB7Ja1nB+rcySjpdIZBSrRN6ESG/HCV57ddXNvFdW0QcTL2aMyHp1Y8G7NKvkxCLPx1u1Jg0TK
MqosQLiZlafiBmd7K5xur9V6s3fKITqlBL/uPZUy2TlafSNsL7+JGeY84aE1Pukql3I0KiAqRoly
j1m0du/MvbweVJalCGrQQQF8ekFyE9R0GFsXlsq/rAsDkCMN3E0pxurJKkEfwWCbJ3SSMYtCxWji
Q7VsDTHbu4ThEJNy8jZ1lbw5qAzOGseHgZaBZE4CHYNdhHs1pvMqubNMCwNTv5i+T+V6uirhU4Dy
knuXiAPeft5zoZJA61b2dzUUxxv+GByqbnSekfblfg6jc9cxob2SNiNUTF2Kt9nphp0pZP4i+9h7
8VxicMBDYl9OuP4hiJesdruDta3iS13NwTFCZZqKWsWbWqS8H7FS74/VYJJ1rHJQTZWIWqlsVNw3
v8lmctc2sakYf7PHc6rlQflSnaNV5965w7t1HarUVTdywgdQiuF70eKbbTdEf3XNWEDlomMVW3te
cgdivHJzacxx3GmzAWbcNUZ1qkhYWC8qAbbplW+eC/0w0GWxZybkMhCwVqbx3MzN0QLIvhTlsM9D
l44gDi8nrWn2bNWoSNBW5QnkDq/CgwxlULMWEyb66Am7eF6RQ25kxxQkWF/xTHIoXX3hwjQgfSrt
kuwQ9bCqUXYTaoDb3riKmuZFx7iRgLvSgRg1GhOu5Dpj/KZd5g3Q6rKV9WjtCi8f7gytwZerD0tv
P4mK8T9G0+FqnsC0kztnYZKe5T0dMfqBt6o30n1AtsBbjYnYcar4egrW/EMO0ZsVW5mXUVvR/5VB
BRBZzBdilNCsSdqwh2nx0Rplz2IK3lMOLSaBr9HkoA3JM4RnhbbvShzZzRBxTRkcIOCU68nUjLuW
wMyjmZT6vTkPmCY3QJoYHRcYREnXgiZnRToa+mISu7yPSQyVuvYxBY19FLJsnng/6pPjVv3eWJgP
5GFfvuddPuxdWTnHTlbLaxNZqJei4iZIBaIQxOLbcMiDex5Azncq3RyX2MZ9dZHrbs22jvCyn5IN
/9DYhO0k/EpfypvMKPRTG8f58zjow3aIwkrHQmUYqt0oiRWUdjchY4fz9JFjYAJmqHm7MU3NmlCx
htl/iKHDVrhoiX27UHpJs9DunDAN4200mcO+mIiiwEu/sDNfg/d+R30RF5cZOHQEBTCDB8s2sI4O
eisWdwMsmIzXHkxIaNZNBsHFiL/n7Dgz+lsbhIh5wKo17PjRyHMAN8rdtZsK8dAqevUkYVPwZ8fY
50EU74wEhbRWxvqWNCAILq6MseyO5bZ34BrSplxroBhFRUTg1LSHppxKaJIQg12QZcIvW7FucQdY
Q++Y3tGvTx8g1+9tbDUvDioFuxqI1kHfVF57dOD7fulxmnTieF2UxnhygJIoVvXhAkC+2eBlgaaa
RKP1mHE8tXpvHI3afZDLmF+0TPe2stfcTUAbTLytA/hX4btjZVaxi9o+vkC6PzLMCzQ8Mkbtvktz
7IAsYUNQKuxLm0jdd9eoIVY1TegXIPY8hj7HCaO0L2PDDW9AXie/XYZupyW5WNtRZt+HuGifjIKj
c51IzA4tFKg4cg1eiKbIGZDTduGhYe72Bp142rpaFdzkcdNv9REfJCbl3apsE+sKl/J0rWWBsQ1x
ytsESHKQLrqFt4qYEVlQfTG2IZBHKwk/G50tktBol6CiIZ4mHbUD9k/mheM2w1Y0k7nPJ1vcB53H
ML7SrcseB+O9RXasn2Ik8tQ1YbmqJLye1B7GQ5wF5Y0zQl9lMgwCBEiqxc9W3HQwWNPqjpa220wy
Dq/NmFhrojlMYkWcjPevcekOYltuzdFNj7HI3b0TdLDdw6r4cIvUvbRbK3sc0iL37a7QISA7cr8A
yh28ejZ3DAr1A/pngZV54HHUIFvGNj01NrFeTKdW724tvd1Rp+qnVAmS3az5ogUlvkNmdMUo/Gsx
jBE4Wmk9GsyZQBWbBlkyTUtlI7KvpI5JFcymbRNAA11NZjxue0wBodvnDB5YGNil51023pFUaD8Q
IkWcXdgFfILJQf/ZBsefOsu/INPJP3nwfe7TFBbyU5+muS5pLHoMdkMwFDaKFurAwXOOZM/GO2kl
JSYTo/ZYe3J6wD3Ue57dobqW0RJeuLOsvwbxmGzNgQJ/hQtr6Ef9XD1MBgFzuqXVG9SG8SZvPO2G
EHAkS7UboxknNjiH32RSSmiBjJ9hlmgaRU0xkPjUFX6FMmGL1cOF68baNyjc4cbQpvKaRI12D3+W
0WQrCMOprC2yEPEs+9656AT0vqTGeczh3s/qsSuEFemOiXED7Fq7y6GJHOeFSj30LUk2n0jG13Kw
bvquvzepUFYz8TEbIkLnDUHpM1p3lS+ULidMFB0qcBc/E100Hm4FKPPsXTY1ylkkbKx32dVwNBjt
gYvPOUXhdtBE+QWT+kxuqhguvEIKh1PgOPMhqql2Ib9J+7bEhvi6zVDC7ia2g0t0z/K71evxO8ml
w6YyNWc7dpEkPYZB3gre3WphJKdvy3mwL8yu1/aWZJjZJgsUZOn28bKdS336PrTTcxst9a7orXiH
s0m2A/NGtBLSO9mVBajaLPFlMFrusGFs0zkr4maIJyuHloDKJb5e0oITGp+GIzE79k2sN1hrGtMQ
3/Gie4fJm8aDLM3hsGBRAoFubj8wsKUUzMdxeojy0dLWPfXCuHZrAqHXrtAw9ld19nAuubNz+U3I
n3bBKUxRnlTw0Pki5U6nlz+PC6NrQp7Kb8a5qEfSDkp7rvQRzk/sD9T/o+Z2hH3QE6SqO0A6Fl/1
2SAR/WD1cd0mo8BT12sfctVgNOdew6YyYzNSLYhx7kZ61ZjkqkXJz91KoBqXsYk4rO1REg06e/XW
wAVnS150u/LOLY97bn+E0xQVttEOGsTGFkdY/952NquEB56ycD1c2yHkCecVTyNJZAQUdFkM3Y05
NYk/u3O7sInRby1YwOJFS9iMVt1pJMrsK8ySTgYk3Luc0fK6hP2+1iCxQECnFD46mN1cMHUnEKEJ
OjR/SV/h9UEZtnJ5DusIAcsXSUjLuoc3c+O5o/NU8wxmrFBoGVPVPMIaVvwgaEakXQA6qibTLDBe
G8+dp33uQj3VkFY4Sfi1alJ71a72wg5PNR1spVpZNFE8dtXecpOq0aXlbVTziwvJcGOrhthVrbGl
he7Xwqy/woxJ32zVQPeqlV5UU42wt/Ddc6e9qKY7Uu23pxpx5kD05Jlqz3PVqA+qZe9U8z6pNr47
d/SNau6RLWvfFtXwI3o85UHH30Lwx4j2jAwoP8fHXsEFlgIO8PX0/gZUNRXd7GdUVZgkUpoCXYSO
uTVU0l831BZPdJqEWvNn1AjHIo0PnQT/tmbN20pJnS49RlS6qQaChO0xTo17jEGkI762bhQVhN07
4fs89OMxz8z5QnNFe+OC5j1TGJRPhludetKytj1qeOS6BuSqvIvJadCqlGeq9DOzM6d7vaPpXAVd
IpyNHWrOEYZEUW67mbsyPDlQWaGIeiWvCz0sxiqkbJMqZr2n5z0tOe9vy3mvIxSOfS9SW6CnNsPf
H0F/Mkv+cQJRTDMHkgxXzV+/MK9pw9mcZtfPV8798mw816/ac303XrW3ELyKay27+v0VTfUIfnlE
hqEYi44yOmerdD5dcQRgye0uDnzmhMEbGsu4WzeYXF+lU7zINZV0BdRfd/aasKLoDSFmt63MIP1Y
hIWOY57jYFdg98mzdKiot0tgcIbLEpadvxBV96XtKvvBxgCf2NiiHMU6NYkEhKw+N1BgyvpkMKA/
2sUyHahk2J+AU1a2497BenJ94tVCwIY82WWmIBuyHesLMjSWF2ZcwaEdA5LAasv1uznTHvN4bE49
ip7bKB/CC5n1AvUzBfF95NnLq4lBW7rJxmnEPClunszQUPsXs+Yv5y/1/xqk/4tjIK6Cf1xYJYb+
8oetytGeb/vvzXz3ve2z7t8otfqX/9u//COD9O/Qel2wIE2Q7f8M1m9e89firC7ZxP0vcP1///AP
tN5R0hFGShgyWygYzlzZP9B6/V9g7j/pTViO/2bR6v/ib8jpYR+RuGt53Mv/qEoMHNw8ZSL/I2Hp
n+D13uddy4K6YRJpwP9MwdhPwfk/lYFVg7qL0BcTVCX+6B37ijB7v7K9hyRggqfDkUWTOa0GLXiI
Qw6Dxf7q0Jj03kuk6kahhRdBtDylve0T9LITmrZNThj4HTtUv5NDex0Ml9GoP9XS8NMu3FWL5SdL
s8eGq4xgwWfVBagDMPzOHvnZujhl8GhNAP7UNm7txrqybMMfa/PWDMQV3Bdph/g9Rbu58pQK/Z5m
5n6Zgi3FEeZS5TrNAWe7tyW7nxWfMV98SxHCYCo5lXvow/wkKvOqMKenimChqitubEvfVvPsZzlT
BBQKswweQMndjRuYD60d7hsCHvIAjpITgWS3VrNfArykGQbfdqGzZ6SQrGNreOka70F3m+fE5CsL
ddM3AvtA/PwWr9xvWmds6io/mSRn/rTy/qKYP3v1/7yvnR8iEbQollhn0v20r+EfL+FAEYOGMfMm
xCYvd/JTONbX1jxf47rWriJc5dDhbzVs1QeezO9v4E/NhBIn4Uypk2nwlz6SteeWnowBbmHDVZD6
3b7ZIUkUqwGMZptGkqy+1Pb7YLlJ6uVpKGLjZAmLjtFGPu+svs9G1+wWu7HXQ2rAgxJBvg3K5TRl
kKpxs1nbpLQedIWiLIhdTAvDMkAdKmMmpzAHxmw7GsALE91XifEEWJFxUVNprSIn0Gm2JMo/bChH
6KUU2f7SxmLNu/fFqOVFgC2Om/QXRR3Vx5Kc1It/vkf+7+QF//Ff/T+4TSpjWUynf1oqf4p5/j/F
+3/vk1dkV76hwzu0GRPO9uc9879/048t0zP+xe6m4+9tMIkXVFX/HnB6RDfjcM8i8yS+02c/1T+2
TGH8i/+ivFFxhnZ0qVzL/9gyyY+2oGoy4RQWNRq/959smeLTzB41hKAs1w1sdT3dcs+6hJ+2zLat
W5jrU+NHI9AjU863ouKQN+BOriKsAHfkfX50dlytFy99K0UL15Yo2XU9oDiPS6xGXLChAHONdTDG
TwMN3d+8j+KTD7W6RRQb6IE4Qzgp1PHx866OLyk7fRo2vpvTumkAV/QveP/OkXeiRn01jekKOHzD
BKZdpTY+Wz895b/akf76BjCql3xVDgSHX28AOVDljmaGAbZKCzaWaVgr7jypucE2qol57HHdgpLV
HXukwKtEcB+/vwU1Z/5pTzx/BYSGUItb7E3Mt3+9g9bE/SpjCOo3fYh3q3Ae+gimJufL76/zuaj8
40I2l1GcEfk5m8Re8LGZibnyixImfAe/Zcdo+rnE3GOHdUG8nnErWdc2WcPDOOLiFOjFSZvkrVWQ
YpzDWoR6bwSv4G+jQnz1OyNF+aXeC9+zpubQF+XsNznh4VqFbwOorbO17AqVXY/YBHk6iule3mAM
l7H++CLn2v5K1MhBb1p3Y8Y1iaWF5qrAg9lvwTcu5+BxGTHjinJyXagKduY0TldTm34IY0m37ZC9
FRp2dzD/SRb1vg9Rfod954/K8T/KTD/RUPjieCUYK+nChptKltSvT8hZCj0L4xp1pkGfFE/z1wSS
FmTrDjBIxhzmMI+devB2v39in6NvuLAJA4Gy2jGwkmcb+fXCOfOxqqUf9902yrZulyUHDFa7vZSV
3IQ4zsD7WoZ12UgIoTMvdAH3b+0Ag+68bJLbLAp35Kl6RErxTsHHADoKHHdV1iNFRBLQYXnSTLGj
I8n5b+79U72m7t2G2oHcWEcD63wOE9GRJeIzFmU+RWexYSZnXYRRWq2NgQjosS+3qdNlfhd0+VU1
EUlpiMOYhkdix9tVkNuHHxuQOe1K62SrAT48PEKwNT40pn8G6j6oF5OxfPv9ff/5WZP3hBjaotfz
LFPp0n7ekDoii/Vm4LZHrVG8ejYFl0CtH190Y1ce2eIgF5qZyb97P/nNv+4DXNmUzDZsi3nV54Cr
XjLcRtqQ+cHQVjBjPXflxSSH//7zqQrr81VU/AKxp3w4NpxfP1+RVbmBW0XmR7NT+A5E4SMZmm+/
v4h7JqB9vgz9q6Q9QXDsyk+bWpk3DgZ/Q4bvZfYROAGTCbv14M4XBkN4k5fc00bOFuTCBIQu6RFN
3IcIzYXCPUHN3UecO7O3FiapgnlnaVvwXH2ftSzyNAHwasDc10bhPmg2ucBwfK5wZGwOqCPwbJl6
mDWEje80YySgPtPllvYUgy/2N0tMch1jtoltBf+sjSzFv+DWkp50ei/g583ahX6x4AFMeIq7wrgM
U2XMwZkBxB5oJbVj5BEzKWX7NBG5hqSCrEGAjLd8id+sxLjNqyU4BhXuZKaRfJBVXu6R2nkr3Sv2
2uTpilTv7bIy/mjCwAXRZM+tDQgcmF+w4ATruwhbiJZV9mYPrEEzDR/rpVp2Q+Y9kALHCuxS7ttA
7OPBhCTqccvg/hnupLce1e6Nk3f7BYVRi2NI426mCZYOcmUXcmBivgp9ZluWOO1lY/zW4tu1Meqa
UGMbCkssrZeikYCCfU5CRjlSPMQLB/GCgtvJkg8R8aGHsHM3OZq/Vdh1dySRfLdTTs/RINxuHAdY
rWzcY1+1Wyx5Bc09o7K80Z4dErI3ZoBNIL6FBIbCy173WCvv2MsKP7XiNzICCqhIdswcjxM4mztj
lZv5ycqq+0R4D3Wb57yGNEAM8yOf4sfgYMGgKzN4NEXb3Nkx3mB51V9TYPiBU7w1etsc0OIpORwJ
Dt7E08xnNsumTpicZ/aurrOPwmvkCs+iCwxMiAxPPzJixP2pndtNaPJB2zHHrMa4DAwFuRYD80Pd
uUqDUiKP4gxIkT9tZI8FTlCxzmGVakDd1FeQ5qv1PKQfWqixYnmysxN+WPgd4rJdW08DQ2qeOGNv
aebthpCeDwBhFgHSwBWRb+5Gi8oTg2C6BLJt19mSvxllnl33xB6v7UFz71uZ7XDCewNOKvfRjADG
JpBaZ7zG2MwVJzvpqa3Ug6EyuGrtptumgsPjvHbnkWWjV5CDMRzrMPqL39yAmtEKjVvDzTyF5Ly5
OgOJlBUuOl6N88JtFu47KKYdJpzFFo2IPxPpW3kUMlGtpz9egZwVJoRxCxux3VhKL2Oa1XJZTDys
PlbVhsbvK/PKABVmBcFOw9RI53WB9A2LCh3qadTp18UY4LPusmjLLn473zi3SxXTFwvOcZxpmFJA
Erb69kvvjcjvOp39upp41Zyouiw9MPJ44Nk5MwqBpXYOwiaAxCKgBZ4I+VvJNJzKEZZCkgYJ444A
ni8bGIIfNizH4mf4HCxdEnbUA8Zd4lZm9XNZ8V7ZU/JR29x1UCdv5+2id9KPbqKOdgk8XRVJyAVa
G7w34wSpbNC5RgD/9iNfIs0A9RCOMWuqZGc1WGJPqk1yyvBy3EACcjdsVOnWXqpnS5an8+mEowPW
QRC9d5YwgyOe7R+zHgQ3GBjvCFZJ0aQu5rZpi4rBCkkGs/de4KW1MiQrt6DoWrVt/Ni2vMemxu8d
2GtTu+QLmSy/cbK3jvpKbWczCR0rxrdX502pt9heMIx7TibuLcY/TJb2sq8z65Z+p/Bjwatiu8nb
rMUJRjO0thn09R/dRKQKFjs20KVx7GBUenX+hPiefahXAqunW3UUEC5x21Xc2PkZVNK7iklkRKqL
dWs6nlw4m2tRqGWD8/EqkNAzSvQLWBmLk9UkH2kVZtsGP79No7MYzzuda7KZ4Hz2UM64Ipj2Aooj
vPG6xTVti0uUB70SUdmoLfwU5rr7LGWc2amngyMU/DaEy0tY4HiV8B5OUOuP5504nlQhZofZZoRZ
zxtMmTUv7oOTofoBsi5s7sSddi3miFQxPABylnHzK3tS49M8viqhqeGEWXH8tOwIrGF+vTpXDIwW
Vq0qnlPbuhVNsGX4NgPWoOBJZ75ItcIAZCmQK8p0dhoc33hUY8miazw2nqxiWaESQjQz8GgMj4JC
PV2UJ5gD8oY7Ebs+XVDh1yG/sB7oCs77b6Z2x6Bm4FGkwlhpOJvua9QTW3XGNR4XCCNWtdXzAjlL
erJt7loq7U5SiXRzLof7GAipHxndaEE2P+ooYPZOztuN2MdYwXl4O6+VosvfEjf6AG1+CPRk5sBo
6hV27vpGnTZI9DgYO14BlN6IGh073diIcFbmAO3f7LC9RRbZI0ov6h2utwhy7Ca+GlWsr0WaDhiM
s0PThOSDQO8Nx0l9xS5ZX8Rm1B3MscBm0QJRm4xo2gBOe7u0H91tWXqEd9WdCeNgnGH4Rpa+b6ol
xEkD0xPKaTPeDaIaVp0bk+rqMDVHHf9R1uUzpIpuN9FZfdO8dLk3yEe40Av0AGHV3SeobX36nHgj
AyGecScgvJtJPhWxgQ0VNvwbw1j0PTagO2uhTSJuVJUG1YCwy4qcG4GzCHnXM+b+ozLCn+sS4xKO
hTSiTq6X5soQEWQBcxJHiG9vvZaR3O5gk4U5HjS+kRyVdNSXi6XhdaoKNnvV5qGVSTeRID6M473d
QdOL9p6GLgP7AJQpyhd+LDNsdU1G46j8SzAs4jWGCsO6KMfJhrQCPApk8z1ZKNi6wapWoi4yohyq
bguOfei8+hltIDYFfbWsBsPGf9/AhTd1jdZHDw44mZgBl2cCiSN3AGez53erjIJYiH7X9NYxw0Yy
zMLxe9o1eBnUbrAZpwDLeGl/qxxsbsP5Ww83YKWJiE0Lnd+6dKHYaDXeKawGhrhpEa8InEHna5ZS
p4eLbeyAjL2WRAk0S9IqBhxLKJ5vtBGWCU5wij2zC8kn2bohzzSMLrWxuYhJFWMRjo9CH49oStyV
G+cVW7n2vbJZfA7ZA1s5CYm7nvZqdey6SY1/abeYt2GKhXDS6KdGM9JNQdgKGHbfYlQptH3NiHLT
TkTEuKrzWRjQrvSFbSnu4w8xlR7MQ+onEbDTlEU0PxodBD+e8ALXhxPILOzgY0Smv8YdLHsq6t68
MBf9eZBsFZpon4mAoaRK6wZjfA+PE40sONxwOz8tKYKjqV4gXVEx6fRw6SohrwDZEe+3qaUnxBcf
dcjmAOG/22pD6fl91fBTqqPHsZPtwOA1dSsKmUIXtwbqsVVWwNdpctZtqZYoDbMPTfDNG3rXT4vh
NnJZMQHmnSutwNd94ShQ9zm4+q0AffBbW9AWclqvPMrsXkRvqVU+6ykBF4Ol37YLoQYdpg/rkZni
UYiIjGDd6TeVE95gvnmqZvFCA1nv9AHH9laXzWOvpV8TzrSwc/xazt5xbNjUiEhOLxOIAUhROfRb
r6O6Vtvp0uXLZUpC+2ZwO9hqlvtgxOj05vxEgTHdLM4EJ7E2LplUFHzJHm6XsU3fCNOjkyOWDxM5
75IwM6gpED0zPisOblfmmEQ3eiOqr7HOd19QJm9F6hwykxWGKJBpNnkgFFh8p6gZ+Z6Z1GFyXDRo
q+PxISfNA9dIlptU4FUczthJphHSKfa1ABX4Nq2j6UrTDNmvbE9t0jndCow7au+2W/iw1JhyGfAC
jRNCGZoSprrwA53gYeElH4UWfYSc9k3DOYQ73lVocJ/nE72DhsoZkeAPxFoNWSZXgUlKWkhNQHMt
t4kxa1uNG16Z6sws5pJBt+palgmAyEEruOnD5rnMOXqGsR+vcYVkcAKHiaoSmg3Zn8FxBplUmUbT
dWp36V3d41Kf62KrhfrA5IbQjoyOHhIsa7LpygIujEEZZc4u1vOeOIVYmZNAwRrGJHx5yVH0vjfx
5KEx4xe4HpMGr+whhmmsJm/GPjQbW35Lk38Q4qC/5cHArIdT77z66Te3UIrjI83qByAEnyqz71yy
CmxP3hIRQqsXcHIllfZdAVWWuWDhEHrDpQUBGf6OOgND1mdfymGNLb3aFMLqtiEIgsPMgyAhtGQt
9ehqjtnGACNT/KYQKGI1e9SIeGDHrS5muSxbs+byzH+oV00KrFiT11kzQCUwnREizig2XgQqxWrn
iOt5RENh3p7PXqTUsP7M4OH3jf95FP657ydqEWYBg2Vd/2x9NiSYsIXJnPo4h9OIGwC2Vtc91xWg
INE3y27RRMqn4Cl3S7bsIpn3bDWwsesvbl0xlGLaMUY0uqrM6B1d2+L99pAO0AnltKyN3NH2MmtQ
PY96sa5Gxd3Q8IxxOwrgLnw8A5nnHonEp/e4y6MPeyKB1OrsW4GGZ4PvlThJe56OdjXlJwxgKegG
VZRiw7PG7jimX4JYrXVwdRD6ix9NWC8Mht8uxsNBc1G0EN7NUFWBUYw0h553Y4VucIAZOv1ziJyJ
gMGggEGr8vr7hEglGaL98KyqbWk5XGcMjm0PImFLiq48tZ7i88YLjr9Oe143MVI0/v6x/gUo5noM
M2wTFoeaJvwKGhmui/uKTHs/cbAqxrY62pPKwilk1+gekF6QUz3o6yGLjb+Bq87eSJ8WFO27koMZ
bBhgSb9emjdb9KS19b5b45hvsamTd6aJu3jEx8FkhPfS63iUBVAiUL8kN+WQD/deJf3ZmMTz77+G
P89ToMvoxNsaLhp7ZuS/3ksve5zrS/QvptoEFGCASzgldDvBl7QIHQjZXX9/SfXxPn98IS0H6gnw
M4X3r5c0ik6n3Qx6vw0Ml6kpkU91yP8TWfkwtdixwa4aN8XYZPsYOvb+91f/C7CQOQEArYd7lRpl
/Xr1nC/V6PCt8WuXYiwF0FkXNBR/s8L/4msFZZakzLvgnn8aU3GaSospGYm1IjbXPQT0TZNML/DI
rlov+zp32On+/nOJv/pg2HqxcAn+BN3/9MFw/Q0pSyA0h3HSXgQdgHncmc2BLQEoZ3QfIo7PFVRg
sD2m+PmUzf4A9R9HA/Q42RC/L/8wN1nh5WqOyAifxQ4I/GlxkVXfxJ5e8Y6lyQumlvP3H8VvCjum
hIb+NxQjNWX8tLIww3EcE9RfBTg6n4DgXjqaHRRp67uxc9WgyNwUGvkNJfbAEPI5gMVgv5pZ8ljp
+SHTnccmtrXVEI+XvUzfO+bYq8WKl79JBv8czs7XYKFBJ6SX1WYI+zwS+WlmaeAOMEMSx2fbG8Bp
Mopnu2arIW+OI1PKQw85KQIk+2J0VbVrSx6RhjMFAvbyGS43wBR1HFx2KVe4WOLDbxtXo+iILEiS
b3a7tzodk3uTEqRzDkZr3BLD89GHUaVUDwl+DSEZFiA1zhKSX1AwW1JTxxTPBzQTWbI28y5ZI/uk
t9ZhS2KdnhN/hbHDoKAsNbY7H2zJojeH369aqXb6XzcDNUmGmYM/Boroz/NcTwwTOhG98kPS5Vez
RXAadHlyRMb/Iu/MduNGti79RCxwHm4zmXMqNcuybwhbliM4B+fh6fujjg9+W65TwrnoRjcaqAsX
bCkzmWTEjr3X+lZOX8yrIBaQBEPrIIdT3UOnXz4mrVUyV4hOm/xF64Fkd43qJT0qvdM2js6UqF/q
5hm//rbJxXxFS4IAaJ9OqAAm9sF69l4BwvfrOb5uumQio32FDf/7kkIvg3W+ptikKCW/IPC1kJ7a
sCq8+rkzYXdLNz+T2Vuj8/EIFM7ibT3o6oO38efN70H+4/bCVK4jr3s3ds6T2ULBLaodUZNHc+DC
oO6/jYve/eCFzD9XGkaHhh/grEOq771faZiCkBiXwRqP4B8kCXWPMaULEKktfmQIREIPuNM6XrrL
1diVK8DXvBlCvtYRarlwUPIbAP1vyFXNs5dz3ks5AnJ90025nBkLDu/0t8+1xWzeymjDaRFnl3++
8f7uS2OAxwAUt7Tj/DE5Lji5mgaRcTvZ5EYIRieGJDKqdY6RaTXmI8rjofu+nJemlPZTV8kfWJo/
WLHeMQ+WOwdZxIIvNi37z22CaJTGU4ahdrpdvqKgwWprEnXYZbW5HqaPXs38Uxjg4VD3Aua+aDFB
EPx+o1ql0fq6ayrml2Q2p6qcwmUsOWP+WweGcGjgUlDPS1QUOidxnc/lM36e9MrNKe5tXXxTvjEB
nSLSuOfgjaU55WQOpyTUoqa/Sqzh+p+/pj/3Ud6xswyKoTQsMpLf33HtjF4ORUntiBiKd2VDQh1Q
jxQdLucnWtmA+fXsg6Hl3xT8vBp3hI7jlmX7/ZOUUToMZWViAk1obFalZXMQH81zUuJHlXlLP1UU
OSfa7tDQnjoFFo3KpWdIv13b5Gapk+RECyFiUBS2KfhHbgADALEwthXVrLI4YkpoRaHltM8mpnlK
YNoAhcHByWT8vG29ZTWLHfq1y/jFxioJl09wd5YAP+zZs3cihfIbR9ZjVpkzUkCGeojC/dXM0GEr
vaWYj4Zg5ywTSjSxt+NAn+RttlFmto6YO3hZTsJu3PJyo86EIvqC3WNckzYzwHnnNvznr/Jvlw0X
WKjBxQUZar+vBvw5lrXNsiGmVt4QnEVTgOMLfhcwnTSWS/ZADrlxYH6jbU43G4vFphgqkv/Ic9sU
bj0cvYke0dtan0NgPMRTrOiZNpDZ2tb8/DbatJURoPnJ6yMOaetCINdH8+blpvt9z/JZXyleUZzo
REu/W+9rYTOCxbe1KzAjrrpxKMLcWx4JW/YnUQf5OvDn/LPtR15oeX36wZ5p/7n+grPwHAvNC1oj
cA+/PxSBP6bBMBblTs+YopU4Xm+MlH6/n9EJt6rAfiqUk69jS6YHojh0kM7skCOZCizK/MlJCyIv
sSOEYuY2Ze9iouQxAHIn+4tudBhsy2fwbGQULPMHWhuGRp8vIuBTRrJ+dtQyDXBosic0JXc6PtEQ
fxvt3FnFtzWa1ic9c0KlB+e6J5nKwUiwBf1P117ggRSgZfRM01/tJsl2hY/AJvUYN35wu/1ZWUAm
A8xgwJJhV3aXq/hL1dUzq0MuTtwZfgnaQgwIctCdoWUwEVIkIG5mLF8rGBiHUcecMwN1guD3xPBA
Hd7GMLPeIZyqA2vNbn2bLetb5T7Y5D0xF1efCyb6oZiYRXig/Hb//O7/XPd806Wi4LnXOaa+PyN1
LelsOY2XHVSynRExX1yWinSiHfnWjcqi/INV74/i2eOeoj7lUAZYkY393V0lQWRMdcpJkNa2WpEF
6q3iZXL/Notp3r7ejqFQz/qCkgPRCNlfzDlbzKRWOXabuqrTjYOYBds/a84/X4/3G+Xbm3Ooa3ne
FtXQO8McyawJMVpFuotlZdEa5D0AgmUKwLgsW67Kf/1yyyOOUskyOEz8se2kymkYRKaYQ5e7FkEv
Tk5WpIZ75415+s8v57+/Vz3WOFYUFJ0I2QxOjr/fq7LumTaSbbyTUjrnIO5t1sLaAwiCU7hOA+Aj
KRVJXBAyZFGG7mO4eHvD0ApE2bb3abDz4Cbpu71rddeN64+bysWbZA8Y5wee0ZDuSnPKfFXsgmFy
Vwiv4zOsFpB1fc50c26LLRw+mvE9hmRm17eQMJMDhnNjWyZNFWqlmYeJD12CM4wNZBi+RmgLhyBF
i0T2MRq2dCSrTS0qe5cT33dEy6ExUUmviRrDt48cDOCKxTUkuvTsVlpCZEwqrgHlm9u51/owK3w/
7CR/IU3tGzLxcWUMVXc7Uaht8yxKQk9yUoPa0NM2hBzYUXMTosWcOizS3DoiUHXQgaVBEpJUUGwL
ZRPgnNQ9jBFsjXTJIgsuXOXvA9jLZ2y4gv7uvWrtayFBvwDgb06+q820f2bjSzeQnweJxvngQbPe
F+poxCnCTES0rEo65/Xfv+xAVDgzM3Z5FBT+/u3cY2WoRsAQMNmmlkrMXL9WFdmvkRoWVshkb0y1
fIFlaod+3ZK5mXTU9V7tEcCbyZfMTIBgID0kLGwgqJ0baDNpPlmELJChXdTFliECgvvlavvWrD1M
5WCfg+XXJ2V7jdXxwfFQmwyji5IEc/2mq/Nij33d/6Dh9H7zQvbHA8UTTB3DQqO/u9VZOUl0IEd2
K+t5V4Mao0X0wdP7fvF8ewkPheGijDf+SIbgFObQCBA+goGEdNqe9iuZgBwzFBlLTYuLGn72R6ei
90UBL8raCXCFDvuybLxboXA9uokrFxoG8IUNw696rWa9YuyWonW3GOlh820OZa1Ha7tNmw/aWsb7
2t7DlUKBbFLA00+l4/L7XTVBpeuTvPS2nauIRBqTxflMoBUMTl6QMMiDClp/x2r3QNsh3WW22z/+
8zL2poD7tTB6ew+0yCHZQ4sI/HdHUB6b2jNrDdCIm2phP1XNPretmoO4jt+ShPVgHed683XU5+jC
hbQv5YjqtGhN/17D2x3K3qvXzWAn2y6f/We9MbmUVUN1J9U2T2V9N8AkPDi1x8dppXeuiBs6e2qo
nkyBKoGQBRAtQ9DeWJ5QuOe07IPiyzG5jr99RgpYWqa4gGDWknP0rvib4ta1K7bQbcdTdR6setzq
ShjroC/749uHCDqZ3eiD8M6N5C8YPEaQsUjOBh8DBZoSLLToRawtGYl9IKQfemWi8VzrzWGczR8K
LcZe610kZD4RqLGwblMztzaqjvvjPMtmn1VujQIA15o7AhhwnGajOdhHndmtNpnbzih8YGr0ZaFt
c2XOYR05KwG0fZvWVXMZ+cmtcvvFmSLuJg3HsBsN2c00q6e5TiwWoe7oDNCpZptkK1HJ/sqMvfZZ
Kz9C8Fl/bOxcTprwaCo9WsHW+7OWCoIonjk3bQEw0zvptHrtJf05FsM9vBecwp1tbOcW2EPsTtHa
pOO1Thzl77FHwqWI6V7B6TfWWcBjlhS9PAGbAHI8JbBbYAef+C0uyC1S3UfNJkWzJYaei+7uUr1/
mRMVnDjlwetokew5bWNvK7OCy1Kb9VrD+Qk6s9sCXnrIaUiH6QzW9Z8fmvf2HXhFBmdunljoTzzA
b07NX+rUBOOdSzsF+1bP5u3jUfhijgNDMN54xA7qg9oo/XbXkuFG2GmuIcSp5MlICHuebFiXiSQa
Ey5y/hiLRd4R89ilM/QU+MkY3M1BcWNiRiXY0ZhDnQDDzUTY2NqI/QT4qQ9Vre52BG0baAns+6G3
nm3NgAoaePcQQL5z1ulWivnUiYg8by8QbVyJIvZvWurJjczgTsH35zheSIULfWx3Lr2Bnc3Ib8tg
khu95yXHILM+6OH83b3D5MKm6c3a90dROI2xZEbJvdNnzg/cBv7N8qzUHdbvwRD9B23cN4Pquyff
ciwUanRyzQDS5u8rbN7Rq9K7lhUWOVWYMId+RlgmTwpeJPZV4vMsPUouBBDKk+nXLHg15ZcxcNHH
vqKC94dozTTxUx9EZ8LxrqLZIU8Zlc/oHicB9KGaeK77BMkr/3atqAlDAlOjdZ2wfZgDTzNl+4+y
qeZbs0TMZ1Rz/2oAM9iT2WYwORyLc9Lo7oZkSLGVSOIfhz6r7xj4A2A1ZX+r4ngGdoJOI7UNWlzu
XG1gf/dXiLmCAxPZ2xZ/DKCqiZVjDrqr3C28c4274mrQWZYbBdqBsLUoZGKaLYV4/+hM3FtNzzaj
yd7P147pJduyahfUuJZcTL0Ejl0X+hcrgkSFiJlxtpSltg3qnLZzL7QtxF4WI89wN5JeEBUoD8T8
wYP2N3cLNwm9mEWPvuySv399jetmaS5QxYIHWdYQrl+tHDankow6z+GB+OcH+8/XY6qIIp0Si4O6
8/6U7kLbqDUs9iQeQorpFU8DsrnggObI38vZqT54Gow/C0uObQ6fjYAX2CtesLyjX1YSH3lbRTq4
vUXHZG3ihZ5gGL57jnMGUQW8iBPo1ngjyGBXZVeTuMRy4aaVtSlzHn5vKBgFDF60JrA7WQcdG5Xe
81XrpV0jSjDanar4KLFb1nd5w3LtFMvm7kSQcuc4uyFZ4SuEaGNNEFeE4pqbzjWyr+gXsYK6qEKT
MtZCQW/yAQZBc5hd/yrrZbplyvAD7HoZzoPzI/Wyr6bkvWt6O24n/PIn+lrmxuhGGitl/dDM3OuG
xsr/trWqlFKr9oV8RlFmkTeD4N5A5ItGhKcJNqC/k9yCRAFn+mlo7XZXustuSmTMWijqkpSAzHWX
E0CsL8/qZLJ+1HlHjMLM+pb23OdzxS2e1nWzRxXP3pOy7Dapqp7iONW2XDdrk9W8IeV5ZUjHZQ4D
TTIFmKrx599m3O9EvGvb2iMkdVWiDAk7cyAKFGnBalp23USazcGOwVHW1DyowwbqgXacuYhjc5Ct
7l8ZFQP8LuN/g1b4+8bjCS0k/0QXVBBFFLRhUyL+RvPd7mrR1JfYQEVUwLpjX+BjasAKL702z6Hq
DXAGU+nu8CgFB5MEiw0xH/4um91Hd/JecvS6JFzb5oGnsz/jqbE2rGDcxQ7YAPAOlCwxZfTb4w7l
esYNAQIJJpUKwbMnhAJz/WVgtRza+Trenq7/n53vpour8Zc15g9D5033vXuRr3U9/erf/Plj/3Jv
+ng0A9vhWKVz3SmoOFz+NLw7fzlLW8f5aVxf/ubf7k08mjYzcebGDLDoLVLz/nRvGtjkTTL2OFJQ
ojnMzf8b9+ayxP6yg1I2Wx6HPjqGsGn547va2VHBpHeq49H2nc/R2K0bf0BZJcDUZCSdrdCEj1sR
eGdVWC+/XKmbf73IrwGG71bjP1763bHTBMiRcgqhVLEhDglJULZM5r1Ko29DZfgf7DXvx5q2h0mC
TZpkBhrdtmlysX9dipOoZ8Gzi2nbJ6l9FBW2tCDx4JL7ZgpbQj3zwCY7vmnq9azzN4HXe+uU4XzY
u90zhXu1suclmTa9mVrvyklGKmFC85BOfKqqiO27amOGwcnJsMCS/PO1Mv7m7TNJ9H00Gph2uaHe
7ZVmnZP121c2uLEWaZdlAZ0sCZsCAW8v/P/ZWQ8KLRqUrvEm6JL4nhPmtTkuQcmLHlPvqucUiO06
8fXPlN1nadk74mq+CY9oZJmDZwHhv3qbSbxJ9wofCJIYONCUkuxhWhkHUZn6g1bodk1adr0vtSwk
rHflzbeQltaJjDe9I+9sJ9mLafjWpOS0D/CfuhyrCZwVEae3nkzvVDbd29X3qbZhZY2rL2MMkNCb
3ClsEV5dlci+QVKp9BD4XXcwpYsws3HRPvl8mLGwnuzasHZmZooHN9VviQJH9hjwylbVZ2dTjNPX
JEduWYLT3REXjFcjgc9qVwXYeNcIFkhrF19PNfI1Oxuqve6l0Ng9YkMcLQqOtjZEZ9+HcG4HSXMz
9JG9n/OG7Oym9L/QD/XYTuPy2ndABnXBkpNGHtQXonSCDWpm85tyKAIVtpBjb5wGUw4XZNCEM+uL
4Dmx0nLruOZ8LDpeQnep/nqaelrhqe9xnHyPRekeBgJjEBsTNcz55BaDUk1ImoRUm32OfXms7OBR
9C6Ufb4apwGnYjT8gEoiwmZyGnNg26srgkI2THuxCPB9//MNabIA/bZwYLjkaMTwiFuS5pHp/P44
BaI0KtVOxqbLskKEMbYFhHJVC1iBFGO1o99kPcSxOZ5n2WlfZOQsSWQ+Iu4oJkaT5uPjiDJxXqKl
hq7zX8fCn+6tVM/w5EbN2g0a/U5aZfqpqbqOEJRI//H2Ef6P7Vf/r4YF0ztf9BD/meVy0xXJ12+/
b2hvP/KT4OL+xemOjWsJB168yizsPzc06y9WKGR0vkvvHBUhS/rPDc0iB9EwqIBRlrClLbfLvwEu
Absg8ih+kGkCyjfzv9rP/HddN5v9FFstx0FaXvy3oN1/XeeFEKkbF2ax67q+2deMhL/CQlQkilrR
jZVpzWmo9Am4mF2e8NbJFTEMCwzST06BzrGxQ9D05MNS/Q6hu1hXtqeB3wBrimZ7PDHxkBsigNxV
7TjRESiXWIlx/up29k0JCN3qzAmPVn7SNEiMPMXeyitpBmCTIdCt4Sw5x0/A4r4T6s0p3MmPaaOq
HXQ8gywsPR23lWLvxd8Wk9HlGY+ZEyN4qFKZHa3ZLq4Ujpxr0hDyly5l0eXM536bQK3ueb3hmu2c
9oKtCZ411xZPJkL0da31ZARNXRyi8Uu/kDeaMWbkVfHeiZxiO1Pfe93qDwSPiU+InoaDBuozJIIS
Il6Rc0RNy6/pJNtjAiL3MNT+eI1c3N+VcuFANQ0RZ6uUidONJO19r6VucSrF0JGT3Dgj6F9IsLJN
zMcJ+LtAPXUfJ5a4NNIm9DEiB1fLvRvTLvpHyOzitcpibEPuYN/muj6sSsZxN7FfWeuxLtUmd6P4
nr6qeQBP+JR4fXUjndhg6agcZFtRd2rzKD730i+eBgItd7GuIx9pBLGDAncAKNavQ6XiC1hlAq2q
GJjjqhy8/p7VPr94Sr5GGFjpCqZUQ51bPbsxbS7NntQLcIMfUzL5c+gF4ydpqj2svWOHVG0TIxq5
7f1U39DDSW8SbwiebXdUZ2NS9gnOlXXoujn7DoO+XzVpDaG1AeN9mQpLuxSzWrZoMpVflNOhF8L/
cWhGWvE0WIdjrtvRZciKas9KTmIyE9ZlHmpeVZP3ilDYMJ+thFfWGbzeNyTQHzOHuSAeLY9MZGh4
m1lMQqxzTRXzii8hv4ElmV6A8+Mo0ubp0Zwz47rIunot7LL6ZEAnvmSLz0bovX6Gb9mHAjbimtn5
gHmJL4gUGDO4yofFoCNL1ex1GVlhB9BvlWnuj26w/Uvbee2G5l2wdVtiDyVxL4eWXeZC8MijgMQA
FNBptzHuhS17mPcQkKG0JScy++pKreL0EuO+d1wtIhiNSKqkZrRbzROh94WmrccJRL426RWpbKW+
sWf6NiKeKjok5bQ3q86DPoCsMJ+96wI+SW4VilDCWV1FkIzw1/m0FxnZTKPazQjcVA6qMIlw0E7F
ejDLb46cdoQqxSfhLBz/Tk9vyV2LCS9r6l1K0JRtpPbWNWri8KK4OPmm7n9OITeQX6xjNzHiarhz
C/XZdoGizGLjzM25KbyXpC/cmzlKfdCGtb0l0DFi8Vl+Y177Fq2yIWNUcTc09p0PT5JWIi5kiszp
XmDWX1kDNiii7Tiqxvl3yykvNcbpjQvXe210hFmXruo+oSEmbxM5x65GVwilnzy4ciqME3Gf7REv
uL3pWuW9tn4abd3Sta7qzuJhoozeRCT93CNo5aqONgawKRhpC/XVunTKect9XGyQHXFSIPhu/CSg
dhwsL5EbvIxkNeheeRw9FDUeSptdXybTIS2dUawM6rhDM4sZIQ7oI1+gQhAeevPIEt5qiiasazXf
9pQ6kgYGnF1Dk9iFgirbaJGHNX7qqFo7tH+476xvKjHggE5pOZ3bWjfwa7TjUU/L6BOhSvO6L1N1
boOhP+rVWBxx6NDmwRj4bXCK9kSlpuPLSPU7HnKI4gTbRogcF0P4aA7WoxuXnrnGkqw2aTHiEIts
6V8axkr+RsYg7pOeQLUxcsX3McgfraGqwGbFOy0zJhIJmAnYpYc2qnCe+0K77ZoBqwWfPOIc3sfw
DWFBwRpkSPVcExlPzCDN32RqCZgok8WFmMFvSmh9bqxaYqINOp7/llAqUE3xri0c/aYBKJbqcMdw
Oq21IoLBxVGtS5xu3VnELeEUP8FDxQod+PfF3I8np2Tvpktkt/dSc0HSdsN3fHEp7iNhhFEEnKyI
bxPLtcM00UYYv329jhmDbttymHdWF6md5bCC07WY12PE5I65UP8aiPaWUdFj4qo2WPX8grWRqukZ
/CcOJBHlibNnfmKvm5meh95iPMuietcuU6hZj6YvMRX8ne5m/YnfDr6930e9+NymrPpZ/GBhJjdz
sSk1IsnzTOQbArb0lZNF2hqFp8TfpidHdHH2wUvcihRWy/7k5IH1ubGSIYwrPz2wS+xpu6h7kWn1
bqq6CHNv3w8kCstCPY+4wU6VO7XXXj6pU6l57SvpsDBGnXHZBicOGWnOUJ4DO1bUJrhr3Jg8XHQW
rt6hKu0v4GFP3ZDMFyMXHGMk9BSelHVEdt+wCqoYFVqUsKiOhn7UqkqsBqs5E7u7zimFV6ZsDQxM
1q4k1KSmk7lqq8RSq0UpGxpze6ghyo8j3EuTSDyScZNXo5kCZ+uiryaNqTHrewvK2Vn5r95oDT9i
b4ou1Zj6qyFyzJPTwoXe9QPjsrAsh/brzDaEiVL3QwWbDMGSVDAzXVp4IQOfmfmK3z6kjNy0MJhS
xM9DFlcM/3WQcLRpCUhpZOi0ee2sYnPSn1h6krBSETjuqgDKYE7DDgI/6U0+8DgMusl6MqTLXFGO
h9wH5r9zxRTJ0JLNgyJDbmwq/9rXnA6VtK89TaAaaLlToghdvWZqHB9U7mXgGjxmfXbG7m1ZeXBL
6vUTQ7ebsujzTVHICyFeW7fz1aq1umdE2Y81x7eVVaTIppyghLZPG4BtL7gqopxT66Rn3nPiNBl4
APNAaMpLIoHVlWIPFu3Uxt5+aGkODpABBWrnnAD5FC4CZHoWDAISy8Qpt4Ze7Uunu5k0/S7V5Qsb
2tNQ998bx95VwK0uSohqK/CerN0EiZyDDZ99lyoskqBIXBwn7jxdqcbGK0oWb2hNdnWJHAm3ORIS
+6nXYLSyu4uAh73yVDUYhEQwTk8YZD2w/Pqkn4BUR5QN+o4SvjgYBlUnSG69TOOTNjawpfvB2lco
gm+p4qb7MsEdhbfUuTEwuDt58t0WFLD5aHenji96XWUdEPamPEKG0FaN42QrpzGbUFdWcMTS2oao
dca9pWHMKWvtazK5aj9BfjkTm8YWHVUuPjYCYIGEjWE5o6UB3GncUH5XR2J+zb0qB3GsouSUa2P1
uUtG76mPWP/MPpYWrmP8+F7b+nd15avrACvzbkjKr36Gj80JaoXwM49Wo7eABeMJsD02MHK7q750
wtjEVj3l1Q5DX3KMdEP75MS5/1zkoBXjSmqPhV2Hubuc4J2JlOaMS/eKC58E3Nhwb5lsi/VIeB65
i3ndHN0qzSAcY7RD6rFHcehyUXNxjoSmbjyfTUqUWYiXpfsEALo6O7Fffy7jkhhnXHnEJSCyYeEh
PA8uPnMmcmS4d+JoLac8WmOo0raECqOmdGygk30XPRaTrG51YfohKL7ozqqVdXFjoRARAkeHelN8
qkXdYFgbYI44znRnavAe+7jNvpe5geU0dosfAYl3u3FQNgBqKmjlJfYZE9RMF10r8q+QouUZc1ri
IO/xzVOpT/G9EFR5hFBW8VOjZ2wZcPtDs4vExcCRsBNWrl8Mj4ZT1wswSbJpDtGcG/RSCvGlIAAE
XIJnovAZ8u921QUXzVfO04RAatW1CGJcq2s+B00l7lISP+7LYTSPAw4wtjwj7rn0WBHJ6GQ2YtiM
pJplcy3kbZPY2xl7OgVb0zx1ktaM1ozDxQPBsnaHCvVV0zYnkBkeONrodWBGbMBgBFJeZBOl22hF
W/pg/mdjrMkNBk5wN8wobMbWqE547RjEZK6zn1rH+cKRtdrMqCNfVRuZYcAB8IBlp7x2RRxfekPG
e4SyFOR2AScRAB27BvIwcNQEHJrxTaoNBch6KnM/DlAbawYJgxhBLuZcX+e6NNEwYyzpvTY/+nNK
+1CZwaGljXl20Jj94IMSIBQo75R6iM/AeJbRikSAH040v7R5Oq18nTRlNfgixJRirHiVGKs4Oos8
KyJIpOLSpymVoxFcmWpCTuo7uEGh33yKtWQKhzn7jG19xs+beFcKUFHuzMm2QD25Ls1mOC2HfMkY
+bUa4JL5eXAq24BUqFoGoZqq5EmiDMObNhoilDxzGHbdduXCcwi7rjbOAPHTdWWaxSPZGUbEWa5/
Emiw8Mnr98kkoq0dbRlh7IwURBRehNtkcENPDCwuEyW5rm81YUyXKQLgDiceqsg0Xid2843bc1wl
Y54Q0oAkw5mgvlTQxzlzE9pRzzRhV6leqDWiXW7ZiMStOnGvu0x+nqV+EayfG4hN6MJB8TMbBfzC
QNDERjxFez/JyVi24/q2V1kc6rKp9n0TzIumI9+zUyRHoyfys+pz/7pDDEYABfkuhSOuemLlBK+l
i2M8dsawyuiekRCWmGZolCQXEN9pfjLx0I9LXneVYZLOykysS6WRRJk6exA8qe8Pq070Azy8xEc1
oI39feMkxec8Mnl4LGlEL2QnzBq8CG+EEC8rBOOQc27z2tDuRtshV+VQ2z2wgFbqLWWm01/KPC0u
CSTsL+yA9UVpGcdcMnnWRZKiGWWIN5LArgXPnTVHT6ZBSFbVc25ZEX7D+TQvyOgpkCzs3Dxod5D2
3DsMGulxat3u4Eylc2eNtr3rerN+gdNBqKxL5tFnEBfty5jnMwGtioexZ/Hk0iDzAGl/aHmTexzr
BAm7NjCZsmkXuoP9zFl6eOq7OL9v0S9fUg/5vzSKkqmWXl9bfKe3Zm7yZma/fRLm8KqyxNxwEoqP
Uu+N6wl2/7EbI2T3ltXTN3CWzHDCVq/ZbY1NboNroPrI4VhrZy0h84TRmoBnAeQ7MCqN9Bnk+Csz
dujxzAmPLegi797LRo2RpgmCvijzKz3XN2Y9+2tdOKxYvYj3LgimY1AziA1a/JNu+rVWw9U8xdoq
GeLvAAsB7FX11ZKntNZJaFWkCXxqOPz4PMPYRaYrnDlfyqrQjnEi5e3/lr7n7rW8fM1fmzcC9UuJ
RSkWEsr0/4XkVYvmIdKP/9zRvI+Z/+a/djR//sjPEZ3/V4A9kW4h+k/7LfPxZ0fT9//SFy0Qmv7f
EySJicTRiJzR8hnILIO9/2loen9BcuOob3k2PdJl4PdvNvfPqRhY7/9IhTR+n9C5AAws3tXC0qPV
6tvOOwVfZEm9GArT3Nu91I5zDSuEEMQrOzIVyQeDBwJrVqEtm3IzKDE+xgvfEJgFKfWg70MjwC+Y
m71PTdtwwuPEf1fk3XgoNdVe5d4oPxi0Lf3V/5ko/vl+308UtQmkvD8ZSHqzATkULT9l0oFzC2QL
Co8d/SD9ipjnaPfLV/rzyv06T/yXBP+fXvrdRJGOZ66okCZMyg2wm7FNLikL23YmiWyDkA01Q5BR
f5Apt0pN53rsccG5VZCHaIuYjHGo2U9z4axKqpZVGVQ0b2t5TauZMZTi6rnWeJ1ZkbgiTWdax15J
9Dwymj36hzvVJ5s6ix/TRHfYbCqNkY3iHPucxtqEhqEaqptS5qxh6N3ue3aJc9qArCA6MN5gJM2P
eaCXV04XxFd1MQ+fJcSu0CD14hwbmbmZcrbAGsSNXrxMvdQPjF12WptoqwL8QigGQ3+0h3I8eH0x
7DILTkw0inibeN1LUgdEGgWl2T1jYdKJikb6wsDGg9ldxYgLnRKEYvLouNF1Nw23VaLg2A3hkGnP
5GIEJ5ig+XFKgk8NkZQ78CunerL1cJIuHqxZXOV5TvFCKyf0p4S87y7eWYPKVr3vfSXgaw45YkCd
C5IjdRrJ2P10PerS2ZJD1eIcAxekSas9qn4cYexRa0UZwKpotrZjDQ5JlKRgjsdonuhI1irsOT+Z
GnsmyZhkJ6OkBLS0Za47hkrkzZb0gn5HEwWR9kCQOPtWGpKYXm74YHLVxKpFsOrqXwZRi40ryJVZ
OUZL0kYe30LHtI48NXAuulOEYmdl+yZdSTk+jIjibzEikruUY9hSLrQee1C0PrUHcomHTVwDRagD
vhNZlvI66BBZ9BaoQs5tDG6hxze+Gx3IFdN3bSyjg20rkr7MUm4qenZrUC5QQjoVhz3M0QcOREe0
kxttEdgDnT3MVm2FmYyzTdxyN4+OhdRFkZjU+Th4CO6ZToOQOm3BNt7pff7N9oqHNiXVATP0rmKP
DwCT4aIKG7fDaZxxLZ3BJnMh7TEqkFCD9MhbF9gC1hlmQnIyFQUVZOI+cPYO3yYSyGjnOk9FAfgN
O6i/kmQ3hlbWJRgONX8dZQkz2ooDnwdRtuKUgvhGP2kC84C7xC+MYFlXJV6W01Sq9J6UWOSTnsf5
xL5fuoQAAEZtnU8SBFuXXHBOmHCaOUq0Zdeu2wRf9aSZO8hIO8ekarNdcdeZ9Gdp99CoTQ9V7t/F
5P+sqml8aMf45CjYOC3BVJWhOKLPIc3+zdg8zVl17VVGs/b07k5K5T+aVRpvcWtuCr37StImRwpR
X9WpGZIM+NBo9caE8lfJ/EU3SMRkRBBmHjC9Ct48bm37Ekyu3ME7XMVJdRtTxWq1cT164phEhUlf
utLMVTRN3lZEBGKsSqtsvhloQLjuhX4/NtMWwKJ5p2F12ZIopfNs9+NLz0wbKF3t5itztIKvMov5
fz4W4uTG4auCQrNmiAqJp1LZlh4WAYiyy1BjWQUwsbg4mCnwQdURvVYD87j1I5PWBWmnV4ledfsM
1tTxf7F3ZtuNG1nWfpV+AdQKzMDlD86kKFLUrBssKZXCPEZgfPr/o11d5VS77NX37YtczrRTJEgg
4sQ5e3/bZF2k6BVEaZDGwuo3HCYxdA+t77FYKDphZqQJQrJ1Wpu5S1t6KF1xo7uj2PlwMi9NWHTn
oTPrbVIZLnmoiKbztCIWdObIq3IwVE4TnogW2LeGOa1sJ3uYylTts1CxP2TWUzfN12w0N4PGGenw
9BBSgGlub43G6xbCo1ekiLIKDBIIAGwhUPBhC+6iawmcaq3YaBzMVq6gL+NX0n4pqKDccGa9I+Ae
+Xq6LYnwxdCJg7kd3BmAUvXlRiUhMYna2I4JkIUD0xaj3atJZ35lJeGdm5i01eOQYCpOmrBT4341
aMRtFnVa3nJGu/z1PnadnH/bxZiiGiQh4UmhiPiGTNA1CzRPJvUt8ru7KimcLUZyYH6x/TuG/z+X
Fr+OSn/bqn95pW+lRabGMhY4g7Z91NlbK/R/6rPE6C+Mitgw58MxaFqMtgWw/brywj2rln99reav
MoLf3wKGEMu0kbzg7v02rfWqckhLOdM36AsX2JdlaMhqJFHJOaGtRJnSsmr07F7NtdpmpUZH7LqS
wBsSzDHC5kBaO9IIWTGlS9s79Cb+kpkZq3ykl+Wt7c7hNtNFsoQSHG0TGBxbYxwlqMSJRbAU+7YR
pOPV0RcdOC3QkHigNC/ueB9kXKn8/a+v98++2z9e7jcVT2rlOZobW99qtgwvsh1NCLqeXNLunBd/
/VK/yqv++cniHMRVjlKDMfCvc3Adb1VBepe+TTr3S7mEG0229YaKuVy2dv3y1y9mXm+V7zctNpt/
vdo3JbaWcHYfq9TYYnQ6z51tPptF3O3SIfrUE06YjZOpMy6MeO8pY96CdjWXBp6+gIhTdfTTbpvy
TS5JINpAwhjXqexg4YcsbtGIfihJ+Aoz+8olU6m9NKaqPIsU8l4NyID4TJ2fRictkKZ2M16LkuZa
nljUKX99ndfL+HaZVPy6g+bF87jc6+38Bz0vDmlHaOwjW6exGa842BQK04Ar7TvaOek1IwdLkGd/
81V+cxL99l3+8rLfampDEc4mACRvNcvm0SCdyiVRYDm0YQbdTWj7coKJxlTynF+rHHcAbvPXF/6n
b4FF6apl9q7omG8Pai5QvNZFom/NJMcQxJaY2PLo+RgiQsDZoFCcE2M56k3TeWPVb9Z//Qb+5Hb2
//j6356cbgBaqpeRtVV592bKZLxVZWjui8bhxtaiv5E3XU8K379nFOl4IEGMkSz07WrjIYHHiCJ6
a5syvdGHbAgSGarVX1/Tn6wGV937v17l2zVJQjXwSVQEgyoO/gMXSH/CWik60n/z9f3ZK10vRRie
zWn1fywGtQ+8eHbENahnCAZPf87RvbPP/M0V/elt8scX+rYOcP7oFNpAi92E0XIyqBNhtdbG77ww
QGxt3mcRCLEAfl18aq6FslGr+m9sIX9yZLbArSDxBAEDi/k30MgfntIwHofGBcSw7dy03s5MYR5q
w9J3ZLaa29ocH6vaz5ZRz8w56SGaNISBLNwmF4FbaO+am2SrGnFjc60uykMWFc9EUTMgS4wnJAjV
3xyYzf95s+G4grfs0ZTgHdvfbgNNh5dazC1vLSJzZ4JOo8dE8hCbgr5Hm4+j74wr1AfbTsawdYak
DjiEIl4fM8p3u8xXfcFy2vbljjI1XKUMHAq8eHDlmERziPiq6yHaiaaghGMirKOZCRImaUE/efSs
tIRYt7mitqpDgLj5TyOBRzcNDcghB9+zlPL3Euf/pHd/k6RmYq9lKfnPjapHpYgEOrfvnz9l/Eu/
6ve/+c9+lfUP7/owE+PiwGiiN/QvBR69J/w0TDFRj19l4mxQ/63AE/+gU+VAiflv4fi/O1bo9iwe
md9MWzqCvv+VBO/XPRJ9MmdJHRbHVcrnQj76tkcqkLpO29n9pk6Vf49AaDqVOCDI5MDk/aH5c3YY
CAKv/26T/B1X8u9V+/rKSFLxz1yDkAxGGd9euZMcY0e77zeO1YXrpDXt+p1G7SR4zHULYGXNjHuR
tEP3ktdpPa9GiyMo9FtynZEMDMKB31HrxkLyuL+GTYjWZuJgH1g66cPEmprQgGQNBjgrQtltB0Mv
20XT6USz64MCilVX3vSBEiQw1dSWGwPdwiuZAuP7VBn+UyHSIl4Jo+/vJjmhPc9YCw9JnGdJ4NUE
OSx6nRZNabkJrHW7X3pFcbCSCv9sBK1jdlBPlB9pg+ZBmf2SFNhqKcPqB4Yy/UZyJrrzu8x99men
gd6tpTdAGfRyEdPzRCgVOeGjBjwxRQ2mVbvJI/a0DKefbmVDmCgIN+hTg5BO4tSHIT57cedis6Rr
X7oMcTS9xFpTkLxQj4i/BuO+9zTWT99A5Yc9005ROuRF1cHONa1TWQ90sytrQdUf0ZyC2zG0DTG6
tcMAX4kycGr0AOT7vDOGwHHgWwdhyyUJNNhbzXYDOxjOAoKEJoTu0Zj+BvS3XEh7zvmfqmFhhHI4
DW3X3GBgULs5bK+qdNkhVKFgrBCXL/QGAWcXkXeuhsRdoXMx4R2HGDftiI6ekPraSkx7h6aUiVSP
s1lvu45Bsby2r2IDrA0w0M4ujS2g/m4d0lzaw6B2CCLKwyVnCILThpbJkWFVUSD1KN+VpWZ91nof
bTtLaEtc79rtjN5rp1dNcpnmXMJhttCGRozq08ADKq0CHOEmXmEPBOcSAInFGcZzrsdM05LvxMdm
FXIwk+89iWf3Neos7+hOif5R9kbxqVyctcTD1zZcYVIIL1AybsSoMYoeWpHcpobf7NTEdFNY2r4w
63ofz0X1XNBw5rNO21rDl6viedXaA15E6aMMCoSoHIe5oFOdsbFDQBcouGGeV1m5ZOxiM2fNZjpN
Ot2tHF7XZtQR7m0yLfbuC1trAVTQI1s2hHsaK1vTFTwXF3eZaE10G7KZ+jtDU9PaiuIp2kdRzTS6
EY37Sk4AMGiY0/Nt45p0DxpXCy/T4Ikdp/SxXDgNmYUzDxQc1CHEUi68aGv5ufVQta0KOVF4CAFs
r0uLAA3FYCJVrPOTWVT9E6QHOw7gqA33mTMaDIA1qx1Wnj1EzX4alP6TuDv0AmahP2UmUVwbVegW
Z8Mh9NeWaUwA2WWDNDqYJ1u7eI4a1o7fzIdMovoEKWww0inh3OQBNPb4oTOSK1W80Q4kvpNvyj/m
wo4S99LNdknLDoXsOp+1U2hNn06UfcgivtH7dFMLDdPgZNC7741822PaOjkWAuPG6m4SlTETnJzs
xldJFsy6lkANZD5PaLPapnVzWzqzPDep+IwzHaly1RZU6RyABY6XY+m62dqAcrF2J8hUUeEmZ9ob
ajNq0jt0M7A+nM3Vx+y0/XoqNOdWTCny2WIKh5tQZuNXUXAKD5LBSA40FFH3pqlHs2wup74K2snW
P1wmXXtgavkBXyQdsGIka0XqZD7qhMc4P5tquuoL3GpClEC4Fs+l9qJQeJVKgv/kDP2YkR20lmXf
3fmg05ogTsCKKM6X+7mbf9Zmw/ohK8sCW1GHS8TALph3uCZWNpPgRNLCaiiiZFepuDgD2A0xSpgd
A7dqCC/oaDPzAdddqwIxZWqXRU3/Q2lFdyuHTmYrnLqA5zGCnzxymha4sw09SM3R5c4KWxoFffRB
3oZcaqXtbeFJcmFg7RZ5QvB9OhrGo5dXMa1HoaGmGfgJIzdwNGS3uEkkWo9w2+VGsagKe6/ymOG7
4cT7zrG/2J2SW1hl9SZvIb4E2PiAVOAagQMWXrvB7TyLieMIDY6lNjXtJ/OFtAKbRH/NdUomzEaY
KrmKWy0FqG730XGM+0syRdkzyqhslUOe/SlivdtMiTk2C84oycZuejR3de2k1qrve++2UVnx5PI9
LUCSMhcBQfmJ7MU6y7EJPyaGo9a9bAqWWTWXsSIsxRQjp1EGv3SKBGWypkftKqvb+Rgls7lIO/FR
M2lY24WcN7mh9wc38ZdjW75oY1cXVyGfQftXZiZT/B5r3iaBY0X/vcbQy9goUQ9DZlgxhPbUunWl
O4wr7NnQMXtmK6BU70JzBsbfJe2Ss6p2zhW66VEbGn4o7lfPWgvZJrhBLfCCTTStomiHSCZdDZ7V
HtKGnckGdmtmScQlxEe/F5+NOzJuMazdIGlLUr5Pu2T2we2MjbHVtNAJkijUloaRo7vLyUDuCIz1
+gjZX2SEyzlGLFbFIzpMO3qKTD9aNWrgBoDusBwiUwX4X2W/KLQ5vhRQSa+CoDUGpBWNP32tps64
icekxK+g9EBwNvkcI4NEOBCXx1x6Vxy3bgTVOCIekA00TYmssnanesk3NKyoBc2FpAXPRGF+DPOe
D7L4TUXPB5s3ZXhE/wFWT9aPg80Yw6/KdqvAzVxLDcZDBPhgzvX0DSuQR3u9jlZe1jorgeZ9iYzU
2TqpaWHc889Sm3h8C8M6jXzvYsglWdBtP1obDAHJKqMNvmk9RCsmUwwe+MSyD5QLEkPT9UuNfdte
dzKRZ6IifTJTlCQdowyHV5iA+cVVMx0/P8++5Gg7O40tZ6f3/vCcotdZMgCo+vVgiwoKx9iVy8gV
4ZeIZ/hLeGMXqcoNhHKAVzZw0+wkqBI9PkcaDsBFFvVi79BV3IxGar77etvc9MIYT4gcOPejmQe7
RqKgs49wMl+Z9szCIvh/iLF1+yC8Xn9AChP+zCXYU4IuvGLjtZjdWJj0cJcqYe8J2SjFgvgAf0Xw
dLLnUWFCSWZMH23wN2SbggTPJ8xWsBttCw19MUGOj408+uyyEn48x3W34ksoizPiEO2BFna6TWI5
HdIxnTelmPoXCy3moWuQPiP3cAC7M6RZG7Lzca4JkWFOA0z/kKXT9LNLnYLH1MuyC+CW/uIj4W8W
WUKEPaVttxgo7ddpmMknD2vfbRiX5T4OdUHwEjZjNj8X2Sz3QfSSWI1FPpfI0e1q40M/FNaWONv+
DkyCopp0MN1gmzvmmBaIqvfcFy1nhN1E5JeYFjHelc74SUW3rZc6NwaptvOKGL/e4T4jAQRVtpAL
Vjw9wDKX3GBinVH7te2m0gwKHrKaRo7unCyCTqJiDXIcS3GQ2WFxG/puvPGxTTBvLCkYi0ldHKXN
O7fmHZReqT+aTo8KpGqV+RCGgxOtZs1I9TNbBPtbF7k9KTEwHJeFJF8hzzFV+KjS145JFBQ6o+a2
Q8wBP9h/TzGAMKvQUbBgHtoYuE3XDbLyT4oWxOvIopMFamAjgk44lZsCgdeubnr5ykM7XzSfsK7Z
Hkkma3kRTyNLLr1GpdsFMVGY46NzNbbG7SBFP75XJr7OO2AbTX6vOWBtOLnPGBeaDkfxItSjdECz
1Y5QhoxesMsCryM5yusZ3dZVeimsIXoYaz35mkF3bhhaRdWKBExyrFsh7+rJ0F+7yrceACnS0Zxa
A0nQHKF/SpOkvI8KLf4cByeFYWKZ740FET9wmyTh66id8SIoUH+2ZjXvo6EyvaBIxuYytTprxdwY
LNAU3qxqtiKgBnkyS3Yrze6Z6b14z0LXYgwtnPbBg7aibsOqsczVTBgfyV94HFdRkbYMVacUhpMd
Td3SLyKXkItOn5JdrXMTEvagIbLvbNnSS5scHeE2T681pZ6+rNgPD5We+oC5zKa+jVo3RlxLbsWR
kb2LpLZ2UcBWfR3tmqozX/N5iDel7tdPBJd17wZHIkxhdXNpryx2KGnRmMtlLT3voKbIXEbch9hR
HfGeuvHwFpV+unPQED2lMNVe9LqyvZXjT9YrtqJx36sBRzJx0SdjNp27CHYFNoloDLfXXOxmwgVL
RR3fjIY1bBvZzduOj/AdqnB/Q1fYOVtx3a4Lzd3oqnJPiZtOe+UYOrLMLr2UlmYdfWV2ZBf5CoME
vicyofHRYoTJp/BQtXPLiuOGR6BHb/CpPzV6SXddLQDsjk1bsFob2FKk0/tfKKrdRdwVydoCV85I
34ifWoItnoeUJyfXSvWc5lEElRIvCebWap9gV7rLKusrsphK0+rzLw3l7Dkv6ECNSVL/hD8EMC4a
jC0DZedh7n21nyMhVgjeh6dMB7oj0YvfyvBK3adJBhmnkeWq0Gt1M4bWsGw15LBOVMR3PQ2ApVkn
FZmD6VCfO86kH81kWHdxQVDSBDwlkF7Vnnp7yHaV2zx3YkwYo3sGBq+kMLsVoTfeokV8SjiTmt9j
J58CfewE1AWTGggP20uPjenY93QxcifzXxK3Cd/ChDXfjqjTHNn0lymqMDRQi92WKppXM53jIxla
TLGo8jIUnNgpZq3W9ibz/2MoueV7yXrvwgB5S5K2XIWzSt4nGBs2jg6O1HrZu0cPYHhLz46nK2FX
Ac2VINrz2VO8AVkn1hERmGG2nus4PZYILZ5yLMp7uw7TJ63ivpJQrzkJ9uXSu4pBi9jUz6CJjX14
tXVpfZc/jFNtHGOtKL+sYcRbk4jSePCoJ29FwZ4XkNFmfnpRxgkLHF17EJFEIzeHabTVuNH0lZn3
mh4olXXP5JSraIkktn5WY934nLtG/T6zp/rBbQ35nmoxvRU365pyOfpN+SLxhLwPSlw7rxHry0FW
LT4pVr8nKE+Zc5OW+YxG1SmsFrWHF75HauB8hdzE/Oid0nmCiTgvMpAf7+PAgMQIhftcOTRp0ENW
NxGVWoLpYkp5Q2mxzEovXye9a118jdVbd1p7yycpT61+5e9kvXoHQtIf9L5htGR44UpWSb6ljY0D
DcHVjSRiO6iipH5pXUYfUVZoF1Ks7EWKvCnQ3YViiWeWWkHpAiDgjLc+k3Z7qznzgAnHn2DVDpH+
VHLaiJllkevVg68BwyOmFUbD0QnCGUUH+XPT9JxxhlxGYWJDGUk0JpxqAEfaWyEHaiOWVrGmCmhv
JtHHr4af6A9uCssRasnMe9BkdZkqT440gqLyySqaL5mhfV017lS+E9E1fVXUoLhkNJahEJxSXDQV
mSWaBtIs+cgiGlt6lQWdO73no41Zn615MSiFXy1OxbUYe2KRqfYoce9FOBibqEu0QwQUi28T80AH
y2QJwOsm6+qQKt27qERap9AEnCoiBq6BaRV0AcYw29mqxBZOwNQONx23g0bTbz8XbYfCODav21Sx
ziqFgZAuNluV5EnT5sPYTd6RbKIYYKPfbnQ/FB8xt89HrQvoRRmCTf5+3hycWNjHnhPUmmwddUkn
F9RarG/Ym4dLFmplGSgdAWen2WipNMKr4De1J9sQp2tP6FVgZUJkXQ8MHjOtTE9UdkUUCNarY+x6
Dt0uaccRchuLxJ+Ugyca6dmi/zarpTnGOTheN3cCf2idO0qD3CJVLQtPRppg+xlcuVVW7CxS0oeX
phQi8MKJ5zIPfWIdcQuuFfkVJZte1R6sll7iwuoMOBRRb6wJr5Wv6WSKY1p1mUSbj+hEWr19ZyZd
c4RSkS8qzITnmMyKo6jJ0AlCv3IPne+7Wxz36d5IJnmolagJr0u8C8ggQp8ZfUZLo+Q5nWSvTjTX
iOljPkZJ47lFtmp6bRqC2arTVWRNP/wZH5FCXbCYI0N8anOU7fpwDu8dVqbAcTvDYjsC/4h+N1tH
aRetW1vMp6uiYxMbbtUEelp4xzFT9d2sQQRmtMpYJNbQtDiY0d7HPnf3tV2nj0h7WQVHMFz0Gx10
dzSvEC1A7D1xJjCenHiCKCVET83lWltTspmpCpcm3k+Oe8BGWkN79BT8vXQarvD8IuLbRPO1Ssd8
vHNDI1+QiqLtVO7Ue60SBB1oZfMmmGktNfSYS1kwfp59ueW4vsn0ojn1olLrNoPFps8jGym/tVE7
e8VNPrrDGoFe7S5LYNgToQnMFi0z5hlH6hUvHG8KN13WtFfcD8YyQoblk+PM+hPj+2iZd1MaB3Su
5mjROymKl7zMOCczGXrISK0Va2az47Sc3T4t1xp+jerQo9SnJVtXBvctzY+OiNdIe0YYI/eeiGH4
9RTR2SImT/kyT3GbHCrXSe5J0sSDnfsazd4Z5/1AjlTSfaVuMW/mbnDeMmN2LqDKKn3tlrkGVyqF
67W2sU/RCWliH99C7hg4EhmAXSRy2mwx+AmGt8zz6+eO6OKPXhPTDKJ7ENaOvJnQ2ZMXZz3AZSxf
GjMcNhpphqcRpBpue7uRd/0UzbTbsMmfa1LULmZvFSe2m1dbhwMVerBksHX7bxpw9nU9IXJNTNfc
S88onogIU3VQemMDmDNGWFnqOY0UteNTmFdS1EQQJ1dlpo0A516pflxiUJwfaF/ae68x3LM5ObQY
0gErXtTN4JVVY3qfdA1Q70Wl4WeBaBkdgG7XrKXmDu2WHnIzL9Axji+J57BB0EKdjiRouKsuvktq
twNcDYrsIYOgfxO1IVHMTkvYWu6Ox9BgJ9hiYK+LIJlj9eHFOLIW8TR2Mhirou8JaNAQddWmOQb1
MOU+gXCT1pAzRacWPrQHa9c0K5wd02Scc8tXdybRXs80zoc7zelgpvt6vklKS24UaQuPZpaNJxMO
L252bRDrCoMfjk07PUnwi5zLB895U3UWvyajkx8UM8xzqxlZQwuSUMhD441MXXQdOUIQAzPC+UqV
tVCu1r9Ms4Jk71Bcr2N7TDciTsbT6LcYXFzCC8pFxgdxV6XtrEEDM6LPUI/dDk66rt9HIY1eZpei
uE8TF7qJFnKA9qGZs51Ke+H4MQepsTDt25Y8t0sTVeJiDGZ5gqlZkmIGfOR1Hr2ElOmUwJW+8Zyj
IH+LNg6p9uU2UY3+SLyucSC8G1pO0SSCQWpH/zPAFeLu00kLfyRZMb/XPg/Paogp2IJeNAOhlDO+
F2cyOcbNbZ8/c7ch3CyJ1qKmL+V4ksIMfwwa4szY4CGydf4nF4ztztSJyMMr6e7jOMRd1RTywNrO
BiR98Smtro2XfsXOh9pTe3S0pL4bndbdgyprbqxB9UhD4+5LdhYBcdy2DTP+q3y5UeP400nDYtnm
3ZIzBEQ05SCCwqHl7hEmFMverfJ7a+ztvWYQezBnU/dZpo1J6gTw+U2di3KbWu5IjRYVzbteCxmv
4ENVF45IdL/rUj5mvendEaeZ/5jhrd3PRssvLeuQjPrmJVKMoVtY5ow7Eldqe4WzY9XxGd6Xg1Q/
2IEKL7gSEx60WQeuCKbPSFaAHM9d4cpLhWKK6QFrSxlYnWVhlVfqDMcyP9Q6f0kPKxQFBEueHWCz
diCmontDsCivG3JvHL0OU3rociohGH7IL1ncAJqL/dSo78Owmu/GjBFbTHFzI0Ti3DHcKski0uOL
NOya2NrRXuB956hhVe2qbfU4mOMhPBX95Oz5axGGkkb7GHWEMfz2JQ77bKUn1fjOkdm77dx5Pk9j
8dno9rLIiABs4spbGKk/HR01FffJYA6btnKrRRr791NCOnDm5OC0HVqXOyWFnWL5RyWeGsJ5MAeu
y3dcHp6J7A0r57kOWnzR657jKxOajg6HlhThTlG2v7lx5ZxDIZDhW+bYXiwKek4Cua31gdexyyG5
rvdJb5sYYfxIvkbZ2JJc5/2o0L1mQa2kfYojwz0OTmXdjbQz3kqQYrCd9DBSHHcZ38Qdd9Mgoi2r
aniuktJbRMDaV1nbAc/Fl451FJ0pMspKggWg7d5ePZHDBJqSEuHQaW75bAJuouj0KVliOpyZfo2z
tJi2IG/W6yfmqWoHFLFaxQ0ErDEm+Q/pGwS8SXgEL5i2xW4ajQytlCreHDOUR2aHHfTdyfvqZQn4
RctyesG69yrcWLTB1OWetgDI4V+lZhSybsrcypw7TjCGHg8HnK60cooGWTvTHNq9tf1e21ZpLeJc
aTsUV9yR9EgIVKCPcVSjzSLnu009BkrG93bJzAeA2/CQkFz+WQ3T+AFKRT2QwUO0L0H21/U/LLsb
x0+9KpjNcXxrMuaXAatC9ESLlNJkhvrJSpWyGPed5zKHyZTJRpOp+DhoQnzkYGwLzB+IGxm+sHFN
pe/swsoVeL5NhIXswdA3aggvk60idi5iDHattGsLubwBFCMN8+kZj7zB3IagS8Oo2fPLhqjh0BFV
uKjCKzlSuQRxdQnKZUpURG/gLuU+GmVBgnsGntAXaUIvTzDxC7KxYrcyQMFrge5PuJ8LokYCGm2o
0dOYXQw7mZP2geN0ZnPjjyMvgzMq2oYSv9iiICTwMe9b5ihGmR3G3h3Jcgw1bUeTvXCXdiuvfzDw
0AVhlxiPzGzNPBgYiLqLorTtzwbGwm3NBBUNLWrkOWe7DEKbrX2nRHHNjjbm8YV+M54xUAcP+AoE
OkwF3oLII7WwmA+ufkt3HpNcoHTrjc/MIhQDLaW/1sKsjRcWwcHh2kZFsPBpDh9mAkP3qN/HW6h6
14j5a5P8GtTDmMZYgU26ZkL2mAzT4c7S6IzGcuB0LV86ivD9FJb5ztNKkj8zXS6HqQElC3r62FFO
3GKiZP2acdy6rihvYPoYi7Dn3/DtovXROylehNYkECri7Ji1g7GqlIi9BYmGMlmYhFXE5CHftSRe
31TYYhijo/+yjJDgNd0VP/K6d1dR7bU3RYc6C8dlCjA9GZJllw/zDxmRcxPpvrtr52rYUq/TJibQ
1P5d6Pd/2qC/0Qa5QJMFkxQDJRr8KvTQaGz/s1Jo+f7Zvv/Xe/n5X7fvEZqh7Xv/M0/+6//xB8v3
4r387T8tk+6PIqI/fYl/Qr3Mf0CTNCyfvAtbXPUz/5IUwZskEQvDNBWywB2HgOmfkiJDQKnkJvb5
D7xtvMD/lhSJf1z5cPw8Luf6I/93JrjvIF0Ler1pGZyfad8TVPldfgofYEgjZ7ZW4fAIIvXIrr+G
p0wQDMzFcAE5JbGZ7l3MR1pKfody41E2yTopnkPsOgmYEI8sBZEVb37YoxDH6iMD2K+u1276GquU
LHax9zGN1jKumbp2yXM3vME3WGlTixqCdHVkEoMxnQi2hfm9r72vq/J4GzoPvXEbfcZlHpT2zaSy
oByAfyAocr5Y4mChGwFsC3gCOztVBRHD+i0JH8tp0DBpTJvCyRjyQt4cgTnb2kY4Kc0tHQtH1eW3
Y4xXF8drOXwIv3yUStwVzRyDoL8eUMypXkkXRHD5Q+UnGvwKp06GGCkFdxFxbKOD1+LTcI2znqaA
T+YdwzfaRIwuLdBjAjEOQXjmqDNKr2uKe1LuG3YIUlxWTirOOcvrWKdpoJnVT7uzSsQN1qtI6QmR
u0xi/KryI7YPMIUSiiY2lFYRAu+0SwA4RzNRZ0Uwoh6aPzLXOY8V7xWogh0gsnoak+mRltPaKGjq
WwzW8GvpBPO5RUC3mYNenJyjou6ChpYAJqzktgH+ko5/pxb9Def+R9nY9bmjUhCEvZD44nxPE856
IWkDazQQ5uKxxVi1sCx5piLexoOzoufT4PJxqFrLTV6f7GLcoH+DMuZ1ywkFb1BIQKkhxF6H5mCm
cfruhnWbZtimQvNs9tV6HO1707IJhUcx0JjJoSkPApJRW5cHfVoTFbYqpzqok/nOzuOtR8B8q/u3
iq8QotCXhcfEzl41PuaQGOmkLeiX0DPR4wWKl2UzmEsiYcgzdJfMQa8IpS1BF+fWbtcoIs4TqU/A
4I7wstBFFJsiVg9pTcdbdzYzuEv9zbEhB83dvnFmWCFgnbQKgpx7NYf63JXZVK7rPrnxyiMq2Q3Z
xJitvI8Cx1yei210rUg7PEskA8832C7Z6cJ3EDHriuZswQ8MOpFcI+GnPcsF5vfoNi0fjBZrFfwG
SX1Ujm9sY+OhRtlPZoDuvjYhLQotzl80OMxxjc075RYZHGutO/62MdtPQUpq0BfTiSEQqp8Q4Md1
1HFokN/Vzvz2h9X1/Pvt8Ed3qfGrSvf3pdMEVo5GF+Ul3PJfpf/zdUzbDshrIaf9jLTumZz4Tdjq
bw2FwNy3e929WqCy27nrT5Fs8T6Mt0liBXomYRc07k1mk4OTypoN1D/FiD9oEtAQ8UtMDRDj4v6r
tsu/ubsRd/4iZb9iGNGd8IsAGuKDWfxmJ5JANOpeJ7y4cVsG+oYJRJQ3bFeLEY5X0IKwDfPY2yjW
RRz9Ww1yQNDoTLrc9Ug6URMzA3E1TthtM8DjcV3u2Yjiwki2bpcageHkHO/7exbWjZmP5yTt7mtN
f5zNaMlB7hN42n1BZlNoeqhEYhQ3YYI+qnVUtRqZZSPONL5EFwNvU0q7AWWCIA67D5aC4RL3/Xnw
ukPthBF5E+UxBg6zRhX71rgwRsysf6A7eepzxkidXRMjD4XMNuuHQWlffmzmCy9xvhwtv5dwtkj7
3rS9pDulfwF22MTwDnzG5UnUUA9bjM3J5o7tpwE9G04ZH/vvxxBru4lBS1UMK6mDIhrgLKAizf4/
e2eyHDmSZdlfaal1IwWAYlzUos0MNnA00ugcfAPh4IRiUACKGfj6OojoyojIGlpKpBbdIr1JyQxP
BulGM6i+++49130pa3szphKv+xQBdL81jfTcdpwetWlTzRQeMU0CNe77l6zpfmhcY17pvC65/pEg
efR2SS6WTONq2hIZGZmEvIEuL64cj2aC77LLPmOzvhSAF3tb7DybzzvpFy8Lzklpnqp6PIPZQyTC
cmchqPUKJ4QZRqFFqwsXM6Kge371N6ZVRCOdS+j4L3T8Hge/B8oDGmO+NaubLkb1mt19FxZbYn0b
q33NlkvsCfwAwU721yFLyKyMXxpewgM9gOk2i6lNLLE55EskR0g8jei+cym3U+ede1iZeLPetFrI
HK+iCuYYzA/C0fhJfJaEyn+okNOBgOhd2RBICOvhnLrZpy6cYWPY36zTGK7CFwckU2xULJyMfd2z
KK6q+IbuUr5iqM6dzo82BLmsqi9q9B7zJLt2gE4BPvTABLrzFhQbX98hnfRUJIy7OGlx0uSvmT0e
mbWOqpchW4FUUR8HwU2Wr0nr3kyNeC465jHXe3UX/TSpvgPG2Z907H8vmAbjXnrRCBsSt0FyzZbG
h2kzz7smCYrIdZabHKAQiPZ7pble+I357rRLQRa5eazE/J6DRyHb2r2aheDiXmLOTcP53Djdj2EJ
rgYQlKBA08jIT6TUnz0fD29H47stsyer9UCN9dfmNH2oaQk3RlnsrIJk0DjtJtM8KzazuB+eFcix
AD23ccJHrzduk/wNQX5TkaMMY/apQ/oggM7NvNudrP5eUlK2vGLTFF6mWbzgtjpU3XJqLP0YGx9D
HnxTmPNzIogKhWVv9eFn5pABUv6wTVz3kewghYsborOOgZXjrrbuXHFf9o/ZkKIMqh2xUJg/j8MM
9CYLfqipZcLPttXS4fajtK6ednb2i73igYhmlLevfviEI2mTTg5Wyu8wBWVgv/XJxU/UwQuaTeA8
GCtaroWD1Nu8XQyyrI8TI+dGLjdmXGz8mYJizqjUc060QLmOinLskmFG25p3b42fIeqO8sVr1+OO
mPlc5/ZrEJ7x62HpALtEhphn5Qtw73zbp+4uST9GpCTVf08ZMcE6/JgId+/Dof0wau9I+vuYp9bX
MEJa7EPIInkVEvzPE7bvI6E1venCKjhlkkIBYwjxeSTqmd7DJJrs2fkyGjyGgUF/pACIOVbLtduU
TzIBarNk1grHfKtYA1Y5WvSUwY/sfEosGma7UjinpMtp5CyCMmLx3LOdLz+rfjkEi0/aji2QSput
GXCdSuR0gb6VbBoTehZFICob3zvImuR/TxhdQeAiJCye/4F6eRWO8lcw909hWddbTcAvA9uzq1qu
JmHM1if2TRgpqAPZ0D0VmHNqS0Vc1G+qWnxDc95m1oHIz5XDAsaqmtt8rHn6OrdSIwrP3SEQ2t45
8B/3jTNLdhiusRvx8+D0bGirQ6oGKmnMm/8pF5Ywfs81rXbDc25nJpC4/ik11St7kHKjKpmv7rdH
4DhXvDYp5CRAnHYd4+bw/W7rl32Pgy7gmyjv8tvt4L9haP2/EJfCSl+ANPnT/eff9BocKoKtv0pS
z/Pp65//6e9f8b+HRYdKA88lWEUe0EPm+SN/Iv7muQxqPvc483f2yb8Oi5b7t4CaLij2FO35grau
vw+LFnmWYL2cmLRN8a9jxPwHQsp/Rkz5a1KQCw8/GBEWMoouj0ZhrlHVP6W/bJ/eArcYxyhL6MHG
e7vsEULtrWUhxBgqm67+9Mr8OzfDv2br/vX78Q1d1zF5Pf4hvlUkAudKgaK90J7K/jP5HpaaVcMI
2/4//05kI/7xMsc1LljpMiGJaX+dqv/yd8MfbAsh5RgB1IYDo1yeYKTXrFOGZnebx1Qs9YvIcNd2
eCB1E355RTWcWyhNJ2CWCIvayK0rc2aPwBHUOkCPwqR5cQrk9w2rKffO8xLrqjft9oPECaUxreVz
nGZTwBKD9fzkY6CofhkxtAH6kq0nRfvhsBc+Me3rzmnMc1rYbbJt0wXFMPOdX50nq6gNxmzYBm3R
f/eTIX8lXhrjvwAYUsXFcg61zSHQ6RlHGMYlBokOFJi3GNfaDM3hiOuddXcuQ36U3o/jF4J0xEJs
2DdkUJLCZ1wMZh8GXoIViqwEVGJVZKzA+nDkzGqdxq42wh+abwUo4MqHQ+snvB+soUeOo9q8nL2n
0k1J1OWZiPEgYSdIbbc8T1NBpNhmPxvjw1y9HoaS2eoEfsjYTx5K179BWsSBFmKE1zVhZxEa2DAI
O2/NHhkwNnm4wpIqJPaHgK197rIfMABnQdB8TSlrwCJOp/QMIXRDCp3M/eATb82yfdHiApU52SmL
scrl4Qcvn3LexH6gtBNPivGISrhzLZ8nvDXJA8giB/g/7TEaLkWO5ruNKVdiEULCPUtDvDIZ/wWy
tG+O1bEtunDLGp2blaQl3nP45rancAsHECJ7i0Ohovic4O17Yue3kNLZSXrJxxjzVrdasJ5OaRwA
VTxUecNxxitKbIIOU0deOitLtuZkf7l9fGPlPna6jBumpQ6sWAPSA5Rn263AtI21HVjhF57UvchN
veW+dRBm9m3iloryuHl1+R9DHNzRevGdh+mN6oiM1NTL5UPMDCj1JYHBbMDSC+bhWsb5Ad37RhZN
GkFE533H8nEhSQRz9SYTDjHyzInbe925d6lRvZZDVm9RivECjAUmY1ZmNJbtWIR4+1zxy2umAFUp
oUMXv14YsYcmdRGgx6YhS0TiOHf2DGtPxNOHjNsXHNqrbjC2vBh5SpOf8cQBd0NM57drMBg8Az86
Fofdb0X2k5dcJ3FeHfCyv8Jb5S8QB+Rt+HbFmH7EAEQzKm43hQebBZgmhvgKx7jJt/ZG28BC2w07
5PwRjpvE6zbjAWXXsDEwrG5gckDRxGP6xC0AhnHrP3Hm02xOg+5Q8ntwzPoDf071exL4v+FE/Etv
wm362UBn+O7+yhX77fH/B3Ts/yEWmeVZ8IBIjP3p0f5vjlc+s+8d7iaE27+kPP/0xX9PepLLdHjo
AwIJ0Kn+LssG5t9s1w1Z9K3QhTXY+Ycs6/zNwi5uEn0OGf49i5+lBY4j//mfLB/FNghXlpjFl7JF
+q+ctD5dQ3/OyXP2kbWkvAF6mr2GR//xPKJcj+xyNkxQ8ypp7yeLhoOxzcgczOG6BhL1Ah8XZCAg
kSFZN8C+zyC3cyZ7MjZsoum3DcE1lKOFDbuvYCr2sYKc6vvFJU9H48m1YnlKcPefPVXK60b5oHEa
11eHls71yBd1Tmi+lV+soBe5DeciIMgs2VVgQy2euRkWZJ9oMr7G7eUMNBl7wZbc2PzgYZ2wN81y
SfDzMYQfaYVjELAH5UZESJpriTSznQIMRPu56vt8C0+r4x5ZwKQ9lPao79JqXitgisW8xG5avDJT
JpfKrnABmHb2oYM5ucW+pvBQ4/z6SKrQ/TlJx2cs6Zv3kYFwG1q43XCrpczQhQfRysopcSdsc56w
Q97XS55FMAtRle2JBF9XR5YimZiKxgY5DDfS6XG8LPidPoI0mNSmrOBnbbogzW+09PKP0QsX2hmS
IvzChZf8sAlsyG3mhzEJLh/H+i7BHs91mxtMKHJnYwroQlmW2FcZv4AtPl4Hz0A2XE9VA5O5pB7W
tyfQRwvXim0BHrci2aDLSDqUD+2E6fm3vTdm79hJ1C8TD2aI6DJz4dDl0NJ4E87tzRJyttRuCzwU
MCTNnuHQJWtVRNJtEsTmgmNoTG47RJiridnjTbYxeRKqK3CUoGPgcBA+iNjGqOSrKpSTMDLTgiFa
vo81ixKRv8EDQbqjwzYwM0mBzI4bAKZcItJjIc3+q27KUe6FXU1HrIrhwcfbiDUn8ebIrnsaGghK
5XUEXqT90ZH+O+cp5NzY69snWcrqPaFpm2dwV2oIaQlvxa0fTPWnVu78RoqSGL5Lhf06cTb1T4up
qiar55G2zbKyuVi+CM+OYzE7LfUY3mR51Z6V1BrCRylJIYdT0DwEXjk9t8466sbKNH5xMLnuLrCs
5tXxc/XhoTMccNvw50SMx6e2LNnkJ6jTE9tWDnpSyj77hwGz7XWXMYSPhY2hqps0k+A4PofeWD+6
XcVqwCrXz20OZj6QxrB1AJwpbg5wPDUiHlR106Yvig/X+qUx2orTFIU+ou1iyXcGLzgNburBdnYN
dr9OMZkviZ7NV4+33ByZuloOzIz8AoO+4qeGHgb/RWh4qa3ZjBYZApKcSwvsHjzWr7iwlzcubxH+
ji2qoPisMMqnTOlZ8+H6kyrYvzrT24TJbad7OVEdzjp1Gvv6RlL2cszpnbkqVYGe7SYdf+yTxAAK
1r4sWK4lCVxW6naA3y+b8K365gK7Fm9XvUWML1G9BUf/FMRHGhTpSpmXqEJL3Q4jRLKaNdCh13TP
LrYfP4d2prZlh368wxTukZbucc3PXVNrsn5K7+RSIl9TUYEJX42TqiI7Jt+CpqPTX1lfyx8LOYRr
M7dI+OlOELswHHt8NfigoLXZouk5xXX/pkTGHj0xsFzR3LLw0V6Uq8+sCdS8L/sMM4iik2EHOLDb
dL7Lg6Xvvf5O6xy38YwV+dSptn1tTVolU1V+5WrIemQ4ntMDRr1rGebSigKcr4RcQ/3D7OyMLlIb
9S2U0/DixElzI2Ip36zBz9alFzJSb3P54g0b46dQvjLTreZm/tlisD4mqvs0derUBD2H6oqjxGV0
yQr9RU8NU4fR9HjjQOSPt2nfk7MPiXW4u5aNVYttuQ/Ys4P8Jkfias8/YiOWAd0pyWq9NcP21+xw
AdqODCbVUnPKOIM6Yk3XVzE9QPeKV4oUEZVcGCfGIu8O3DlbeaxUZ5P+9jrzqIj0tNssEXi8LODP
mskIoB1/e9MhkW42+nsa5+DKJAS6o8Ki7TfBMvFwIlt0KQ0+bvAf02lHd4R+w+CEpFLTkfTQ1Y39
PFP/w4dO5/aNSXLgR9jgiKKLI7gKCEsIKlY70tZBnYj7mqLXe4/h+Qe9Low7CFW8ffx2KMR+Bl2w
ZuaG29nv1sqwiXaf0OpNutUq3/o2tWkF1/yEEp14cMlry2AO3jpSp9hnmMhu+dy66hizXeXBMLre
E8+m5mZQcG3HuLL3YI98etps6W4ng4wpNS6YzLcFzTB7Q1fpTTbH/suc4Qwpqknd5/B9gQQCrw3H
Kj0zj0MaWCzrnPFEwugj9XOfmPmPOhT1zpr7t9r0xVNXD845L2Z71zNnHbWrzCdtVsYvO6N4fGOT
MdjVohKnjKgynAMaMp+Umfhnv0qfqso0znEFioyNFGrjIGnaMTKbelOuxNgR5tKFPh3SyB0RXMDV
SLU9y47Zz6A/xEUwre+EQtTvZLTi/fSbe2EggEDYEUuDXM0N3WpzGFbDQyGtdGf85oIoV0NE5RXt
jVpNEvXopT/TrnlTNVUmUx9OhzjF3eQjsr3H/ezsqmDMH1njlQdDuwvkRFnutYFpcst2yYjKEfvF
3EvAcnbb2s2t7yr1s5ADCxlW81MQmUVuFfuywRBbJDUPlxYQ7amXZGD1wuBWGg351Nwk4bS6vxXR
kBS5MTcAVDji4PAA2hKGGJ5cjha8JoVgJB9HdpIStEBUmWP7vljZeBu0Is4ingjyNFQIw4k52BfT
6eszGi/+nC5hvjWTwbsI6nD0luA0BP5W2IeMqepuXsykuyZ0TMwsNGVBWQBlsTXVQW/9TLoQmHn4
3ehC+JzKXCXIwsIpiCy8uiP/pDHYQiR9WZzRedmV4Bo2Ob/VGB+btmN51jnV/ILIH5KOmOtzXq+D
kNOSNiOIb4l3NsWmh86QyGfPaVnNU7lVGfSpN/LaSbJlx1gUxwchfVWC1wRuegpjv62O3Zx5L4PB
J7JU6fDoJ1ofSDxb96SabJyzbgtKoIdUcaRuOTl4qujeEppmHhq6lcOdjTh81QMsIEqQ81ldiKXd
+LOYbxpPj8PWEEb/wAWWXaQOB/kqra5JGOeGDppILsWTmU36RdhZfWZFkke4OZe7oPdgnnNswTF1
WaFwJwRnjS9P+V8E3TFUddKe7ww0gKuwLk0w5+E0kFfqjIg4tPe5gMK2dgFK6nsnO4zlLQTEyJnr
4SOzi4xgiQCQMaKj4N9Zxge8Alb/+99Sgwrd1o4e3sLBfxIIZpuR7t8XPpzke3Va1udgVCttWP1w
8+KxgJUKyzNpb0Il8ZGJ2OEN6BAxLJULTNdYzYkl6WNAkLEXvtRWwwkSAyLKt3gHwMWCWBPPmRfj
/qIw+zGsKu9xUF59u3IpbtpkZvcbEPvCodAGn9SeAf3PCWhv2be4dxMhC4q0im76GaSzOV9Vkxjm
Yx5CU7qSpY1xwUuS+YhVzv2Mi6Q5xCV2h01pjFwuk5qsFRjJILwrdbIcLU6uXwbLlV9khJo+oiOU
oFFPN0qz89S6CHAHkdoHuwrTHyj39h68Rva6GMbyaIYqFvthrkLONjk8W3koH/3ZLu5gFyznJRXd
L/Hb4dvE+DJ44SvuEAlMCzm3HxOZnFu/LOunZiRppJPEo41z8N5lleopYr8nRYQW4FMH6bHAH1hA
3Qe5P+7MMcFhLym84vdcuITbzNIBXtn32XKaBt3y0NCVyjZFb7uvZmLpadPrrm02JggcYBtm/ekY
uqP6p0lvq76pHlI16pcmXORXq93wSKrAeh6s1Zs/zVNyCknYdXsLNkSKx65LTgRjFuOUA7w42n46
XeeNmK2NS1PcT8mQjHek6cBVSKHqQ+4FJIEwtmU3jARQ0nGoHSme0Tm+PtIbliu5h87EH9iYsmwg
yQfxmFWju9Dl7hv86qgkv1IqQwMcJu5yxLus6twWBqHIQqy3G9FnB9dss2PgsgjejETjHxPemcfR
8sqPoFrUz3XK7vgOAsI/2QPjYvZND+LEal7ySVNUZQnFVZUDH1xEzL7bal3+ZKALZTTs6ro15/oG
0wuQ+FTI1RtZVNm7qopGHu0uTe7tSvFXyHOCJnwesuyhD9U3vkdP8HFRh7EpsrPRpCQZ5oL+smZx
3WtWMhbcTapjnmhBD9likURwgoWITDH3Xg6bYOBCUg2ivWpTTKY7NizOzLrDq49tp83t4JapwWhK
EotDOVXuselafjVc400VztdEHpurjhPpPQV84m3LdK0igFOBcIjdAh6N7HAAQDCh4XsZuwy1tQVB
Q5LSH5jZcg+vvSNxxJLIbPJh+VJgEvfLNKluvUaqOvJ7LLkE1fP0FObcy6Ykr26TJudJYgAbedCY
DH8od50pusAtWJBzirOSspp7p6fyQnldfLTNoTwOud+eyp7uE/rZ1fRM3NQ2DyrzqpOhh/hn1wSp
xp6+FLdl6Gjs8w0roBe/nwh2DP7Yzr8L7/9fzPo/eBIRlkzrN0PUf2xE/F9NX75/yvfif/w72LI/
/gW/61mhv0LIbIQiASQsdFeO6O/doaFFDSi1xqGLC8tCpv5Dzgr/hnPF4/9t26vvxv5DzrI91k3A
/0kOATwQ1ND+V+QsnIt/lbMCEw3Ldz2HWZ51Dn6wv65XAAsxR9lyOK2fz4woV5vf+63bk9mL2fBv
pqkvsiPdKqxR/brBxMxFste7ypf2yQicLPIsuzkRA3G9WzY0OI6HKeU/GTnStyWtoYknDOtNxDyf
XKHahPvSbajZa0aTRszKdVWKNW+u39goESaprJR03lJanApwCCFiADz0n9sxwQfV+QCig3qIWOfY
7B8C56NeuHRFsXaYXA1qx4odbv9g2S5jOD4wLmTpERWHwhd7Wk2AesqaQ0N/m2AfTRnqWdh8vtCX
a6W2M7yn25KV3QM2axKbuSYpi7VwrN2tNjT8ChEo81umZgWyIQlounfImz+WlPIU66CfvGoHBNAB
N9j8KTyjO9cIW5B+VNnj2KzhgAsqSt5JM00nNwALQ6LSS98cw6O4NSYph8HYNB9ADTS7UdkefVZs
pkWJ8ZQwTmlThIKS90TefX61xiToNmiOcbexzSo90t7AIkksTe5tiP4j6tWtL25tZY2348RmiROA
fqTFSZc7AWjGuthNJYBOO7NO9qBjRfgyIO2cZi1bKypCAgwQjhJbH+bJ4vjfFEnXpCfdtq55H6yv
CxnIhWzhPit8MOutpFds063bl9ir61fmzhyjzbC+WPKEXIurA0xaxL+GglCeY8cgD7CzWdNUEjzy
5WDd4/LkRkgVHcbHMdM7K15ryImtk501vzOO/qjMEQzH1o5pdGDZZNSof422bKyCLewemnPuQDDJ
jRKY8+fFoW8zt2aIa+4EByXxRmcnwt6/DOF0YitoIWKtJdhG0avIyeJLmwVsNorhxa5hlFHtetPw
/qA40f2iSPRUkqkcp4RBpzDJwLch8SsWTZFYuvI2sUV55a0Ba7BjxsmbhnzL/oWXDhb9QTmKkGZV
gz3SNxIS19YLWEgucXCL5N3e0utmbcoBOZiqN5/fqiO/HNxbB0ZN9ZJ2bnk3CApz6JvJtklYsfEI
cZG5Q5vc54QryaL31aNPaueOmpp26+QuYXxoMtScSzP+kRTThXAp/NguT05zP7Ii8v3mqvbkutmp
0DknYWycKvsAGCEuurIwXZbJsPVB++y9uHAipxyJGmKD3gwUzaRW19/qAswFvTwmUcjZ7Z8KWZ+x
aRyGyST13bvkH5tMdvexLFpKLhGJtm4qyAlkVA3ah0FTwjoPjzBD6fXxjQt3w199T5vUaHUbN7YA
OHXI0GXW+vckXZLXJDD6neRPNtA0yleU/5qHkXhyBt7/8Lswa8ZfhQWYvi/DswFM5RezBe/0qsZX
5/cba0T4MkN6BBrgXj7dmL0i261Hg998LdTWUPlC1RDpoqXoEWhjl+s0XcobHL7+HhZbe5NJAqJl
iyin0FO3o4+TrJjd5dXg595nGSYzWThwCcU6dMp87d40oLC51YVzP6OxluBGaBbDHlXcjwIEjign
SffQENGIuKEkmHbUcrdAFnDA8U+4c/EVg2OHW4Aljl06tl3CsejtBsVRsT0/Q0kgekF+9C4M0XG9
3M+jUDIPdLr5rjU0QLMP9NXkcX+XJMmiznJY1+WDOrtAUVBRW/tqKkT+wWKi3JPDYvhMaLI4Ox1Z
6GIAHc47gSchGlMbubMOXsaQxGKdU7P4+x3kP6S146P4x9PJNU2AKtjzTdvBibo6VP9kbKiqRstM
mvIU2ASwd7E14vfr2EHct9SY/Rgr5MwaQkG+G4VmbCwhwj6RTJujRhbWV58A3L2Zq9GyorxDlTCA
85ibZv3tb6sAzMVmNEdsgfSgEloGcAR+pwwseXJ7FYz3k1M0iMz5Mj63nsgfZ2IoRG6QOwf3Guty
cLssfX6WAaZzhxpICo0zIahssDv8UcJG5nKl95K3WHyHEnWVXRCVdRu4tMG4iX1vvKWeuj2Noz8f
ep7v1yzhpz15fYRIMUxHd/LDK9a5GNvsnrbsAjROEsbdMxzheufB5N80tKfwMwLExDGHgGlR2LX3
J84t/Hx4OJ2lpiUOmv0x8FgdqM1gjUNxwM4ClBitbDhCXnDVjU/sPQrhG23MnkrAwPfnK4SaVYyp
1iAvaMfHPPdqMuede6/mVpxbClcvepwjzAc5ncawza1yYbc/ZBZOwFC5W0TV4N7tPJyjRi12bKwQ
Ggpd72VHX2ZiznB4TdntRRJcpBuU29b9WWZc3sPuveqgE0h8JTb64l1NZnpowFZYwU1lSWvrkqnb
BSimjxLSE1XLvHDcN7Zlv66Jq9ExjqXZp++Wdm2aZlkA9/5w1Rkl6Vh4c5IeTPQb4Z1pXTz6Tuye
OFZyilrZoTXMyvGmdYU+LX7PDD3X7RDVQCLWWsTylXRyuzPt+gOvDW3jOA437hKWR4v35r32tXXB
jPrpV870iCrYfIuxB7OHwpLscWO1RDPwmSynoLccmosG1uxfxezUrwXYUqTW3A8BSMMvuKuXerB5
KLvuBOR0slb2j1m/z9gE3rpYOcvFjQmx8vP5zMQesMc3SyTyLqg7cZfK0vsYs9jf5PXQiyhxBb5G
mZONUt7A7tzqXMqw4cz7ElOjzbhxEcLoPkVhYxK1Q3WxqQGWkZ9QqezS7LMtdO/eYpJvbvuqD3Fa
pHQf4oxPHk2nc27x1HAj0CPnPJQPzBVEOD3PCJ50TtAB8qiHx5qHEsfJlFjH0dTFVTpqw+a3CQEa
ccPIH8dSjyOqYS3SyGzydEXRqI7IBxeONuJhV+t9ToRzl/DEqhm4l15vydomd5gkQl5OO+PYJ4Ia
0RiuQYBk6oWjxfnFCqY/cvViPJsFKz5RayiC9NQpPgh9eUTDW3j6rUvFCCdI+ey5GbmyORd3laOG
xyQLoUK1wnpKlWPsdRMnj+CkuPIIsykv/Bj5k7WQ4Q50ytG0OAWUtQCNQ2oH87kbtP6NzIuBIuRQ
u5EXV21kN/YbqxcK3HxrxLQy59lbQf/qK+TJ76HuDRMX1zAcLbPc29TD8sRyM3AL+Tz9RHpoQANO
vSavDYPtvTXlcAFK6rzGk89SBzUUJT6B40JkiKH2OARK/MSNbe44lIw3aquyx9SKw/e61dMTq6Xy
JsPGlm+m0gYowC2ckozMHIrIMVeQF4Hhfp+KxfvsPSc71kbf6UhMiz1Fbp9jNrQqyEZI9d38EyHJ
uBvNmqxkGWci3NhlnF8bTqZvnX4Vc2gs+jJVs7Df6trgxSpNjPJZaBviuspttqKpbSavdj/OFLfU
9H5va6MhmdRxWLwFTaMu7kjJMWKn2DqJTvBa9Y6xa524DLcIcpBER4Qr2BWq7XeAYqYC65WGS+ES
YP2JHXzOj5Mzyg9gkrA8FazA2zrDwq1JCMJwYCZfrgPu2KZV56vrmcfLXoyd/5XIzrqJU6+/kpnd
5Adf2MtzR/0xu+rOao9uMtG02rqSMFAZfFST1V0GixFqWt+SDE/5VPAmSPgQKuiHfOQpO3WgJZTe
zTLUcNsFZoZNPimgc12XsE4PHCc5d26Iq8VMjfs5m3jY+6ZEg5wIin93RJUgRykbWkDbmu7dEqYe
40Ihhlu9lP3bIoX4YF84t3ve8voXlTn5ydJenG/R3ZLXckqTcJ9LPzn1zBvfdjrgHVBw/CLVpXQa
ayK9UUxbzCqR5PrZoqRlrQScFCQsAskbDlEW6nmAqRXnzZQTOlu665ZaxPssQOPh9Snvxs7i1um1
rBKo842CWJTUc3B5qelw0vUb1KJOb0il9s0WdpEbWck4nRoHAwKIWhztLINxUWd+xfsxq6fqHpk4
vScQmxy1IVqqn51EHJsyZT0HcWbA4pShyKyLFexHZdOFz0WZEg53K/+HRULngzmGxHU2pQ6yL644
2qnjtLlr5mm2iFaH03luxlciMpfB6PQTJC8axPqprOjWBDRyHvKJBcpiu+/Y93z+aC66uxTT+EmD
3YrqySbuqkX7PSVmoHbIscGlMid1WZwseZ7HgpMoH3x5Uo2Sw3ZhF01NK0GKPRdhfOwV+PF9DzPg
JJPM2FqocD+awbOv5lJ0zVWeFmZG3wAtHZukCcY72tGae/by6Gu4BR+9VE0bTC3tyfeG4M23zOnS
cN1iYwpM4sSo5CV7axKQnLlvNgR3ZrVbet6dW5twkn+vgVrwAUI52VKOPh9M4lfvw1w2J9YB1Z1p
5dNmDCHrsh13iJAwLXEDk22zxva1MSH+US6XFu74Sca7+0rqAntznwWqIc45rDdWnhPvjLMEOhjh
/a3tenpHhTxYuskdfa5F2fycjBkLeF5iFrxhWGfM0rUcQQAPaH4bzQd73iYUL8EfCfQpW/ruyXGL
zMJrDSdnQ/SA+rjEwCZmWY6+DQz4l4XGhNkH/fRaV4DE2J0qj/dwsz4369ScxY7nubjW3dSpM80r
3AIGJuH0MGln5n7h080J+a6O5lraVSRSIOCNWZBfrHWXfC7NIq7bgF7PKNATm2uQSfmaEQqa65Z9
MPQyfDnz1QhCLDkFftjIKGb/87MOubaZ8Jx/TDrUv9x8DE6mEZYvrpvL5xCZnfJQ2xwPo2lYp8py
uoNHovI0l8SfqTjuvyFFw3SLBXrsqlYW01a3wbCbrbjdk9o3DhxJwKRy1GuAiWKnbJ8xn31PvoEu
6H46fsLW1wtr94mFPD57myEyCb0rPx2cPTBcEZX0w16GaTbvCtSZnW3kFQ55MDzblLTAY+uF8ScL
anuTuo2+FCakNRwIrGP6qjOYFzuRPtLSCvIYPNSLExrDXUGh3VNV++WJ0XE1XAIeAvE3BjscMfFt
W0AWHfjAP80dV//GKOYjVVjpFthK+V0FfgmwqnGfeNtzE86cKyttxWmy4g4kx+BcK89arklRTUcJ
oOoE/Q8XfSfA1ud60/ruhTt58zD6k77GSu3cIJpXR1Cu3hsrj+QjFvg7mYHc/ZBSox0vVn5T92V6
boEkI1NBhYVFRMm9jc7QxnbyHTjyRzwZxdFx60g1hThwtxu3FXNmNAu3uenqf2HvPJorR84u/V9m
jw64TCAXM4vrLS/Npd0gyCIL3nv8+nlAtUalGn39ScuJGEVHSOouNlm3gMzXnPOchvUTotoyrvut
glswg5jjlQvXZQFL41lxYJ2zoOj3og5/GA4aBqYV8dqqULaw6qEeMNuDGaDwIVcoOXpuRHBcFsDe
NIbkLbL67DwRugujnhaB26He5bHd7JooIm2qIeiM30+9cUIbYbLaQsNVy1+Efv9CLf5bQorj4sMj
6AMjNeIUwzDk3OX90sVpHL9Zz0GyJ+CcEFnWKOrgAkuCVZDZ/VLwCI1LB2X7osAzgwqldfZ9irT0
v/tBrN+E8vwkaAPxZjNb5b+s352BVeuVA/jjYT8ino26uvmAMt5Pd6zoVX1x4aPK21iPHWudTGl/
z4aL/k+6UWOsx473O7C7J7QwgjnZaFb+Jo0U8zMLmUH5LsXk2Cu71tggNhAflfL45KWVvLglRAoQ
fAzk0r6DFJ4NGWtwusZnxh+ErEGUezC7XvtRBR6Fd+v6j45utfPq0Q9fmpB1JEccXEs9ZCjgdvoz
tF0elDAY7khRJDqeSaxas5mOj3bQVCtrzC0KCcu/sOnKlw2C9XvHSccjgCbr3CY+1yGOgY01JC8m
C+g7kCQHpzdgtMxDS2ceXxbfk8wOfxujUqCpwZqRq7gvvsee/vcI1MEp/LP4Hoyadul8goFzbwcR
V/eTPxnP0tJRdpXomxl/zQX70IjWXPm+GxLRlQyPuBV5TpPv6t74rvTVd9UPT4IOIOzi8YdAELCm
S3Uv0XefAPPTQufIjdbUpTK31nc7wTRJvhODnIDlUO5e88xHX4ztvhgqn5BGPvgYev1Ci1SOD2nu
Wbrv9sWdO5l07mnk3N1AeZy2ZOk0wRq5C8ClfFSLyOjpiObeyJ27JKwI4aoqUrE1y4oZ5TwRJW+C
zgrTKU3WMPdb5HTJDzX3YObcjY2shl9LEqvHJbMc2rVCBeb0IEUdvwozKd4JbdNRJI0NqciEgfEh
iTwRN81Ef7ntyXvEv0V+yEvlFTL71ALZhutAtP5P3L95efvX76v5PfT/xR6O3QLDhSAGymQ/Ybjm
756LGVNiBVwnIbXWudAG/5T3YbmqKyveZ6nu7nH5pT2I6NxbD1V+gfzuAe3OUfND5x0O0I3Z0JWT
5q+YACACzNK4v6frQSdqMyd9qdKOoAs/tMoHuy9BSJvEFfpj2K+lA4Y68S59guRikfZGdzLctGlY
KAzeD7QQ1gZattxLkEZ3phIDI324vJY0HlCoXTLTu1XIF0++5+PEtjwko/4D77gFznM605ippdRs
vePE0wnxYl7XcmUDxdoFYSlQf0gKVO4OfdcVTnKLkE+/tXKjs9e5LfyrgdVs63dsb/2h1RBYWnnP
7G2M6xsOl/LWhdICA8plWiWYLeMwsS3VrcWQxIep1FPsGUYFg4Ctf/bptHU5F8wthaRobk1sdch3
wWrlFtYRew7+ULBMUjRajvcasFV4HcSIrKNP82rjNXEALx57C7eu7bCziBqyb8eZSTQHf9uyl7MM
VA7IKaLuM/UUKoWE7NktnXCGlqFWY4Q8uEqzhdN2aif1yrvzOhV8EAHhbRuMr2vPy0hXZzLCpABP
8BCK7oCuAri0Hho3jBYnnkqKziRSbMMJ0nhTWVKs+dc1S1z+2T0KUhdcuygQ1o0eb4APILkjgBbR
Z9EFG9m2XGmTIHjBKZvXzjTCqwbT7KmM0mzn6ZMeLPOu5GgaiHuZcBuvqtS2joJTamljc1vn7BrW
MEORTAVG9JjpdcwpCtEMgBmfzCEE8pHQxEjvNJLgsZWgkHivVWSdijR/UAqDHnZqasvvmwjOqX0n
tco/9xP7a8Y7Om77yMoa9zaLZxdQMS+RjO99ktHgKQdAPe+Z9HnlVDHVnaC4zZsor07YSqlwRO4i
M/PD+N5aKfZX5vcmq7aEtWnN3nlKvjddGRGMRDGHPd1nyOmdrTjdilef6V64s2xp+DdTURg6BKVy
+LTbfqjovk0Xl+W8bYvyrm8XRYUedEFnYMlz2LfVvoIgu+57YexLswQg2pU2zXWrJkZNjYriaBe5
kgXyyABDrKrQyI9Wa1FPlN8z3WEe78bCeCndQrioo674UV5CQoo73lo2Q054gDo1CzCUsymMvJ1/
6noj2JQeh4AVUa3lYoeYqX7/64PqNxsax5RBYcEhZetEI+DB++e6QmcyHzMSdfbKFze+upRxdSq6
u+9v8h8twv89y8Y1T/nrd1fH/I3+j60DU9+f33g2SPzT/yHmA+vhXftVjfdfIAXJnf/boHz+lf/u
P/zTwHgdi6//+T/eP1NSEsKaC+hH86u3cV5R40ikOPqvd9zncMqr938KkP/Hl/252bb+sFGcC/aU
ynL4w/lzrW3+AVbHtXj1yHI19Xnh/Xd6js1XSFfnP5aOQ2sOGfzTpmEafyhbSsAkJFvwteT1/f0D
+LPE/CtD5P91gyEYc3WF55OqEZLPd0n6S8mJfH1CyZN2u6yzcbXHWbHtRZluq8i4sapa7UOv430x
aIz99sv0JDhwwaTql4/sX1S+yp2dkL/epPPPwQ7fwb0B1/vbAfpr6Uv4hZYbudfteCOSHdLAjW3F
m3xayvaE+JkNaAmrLg1v2pDp38iAGEGod46oQRZlZV3b0rmpTRTiT1N4Y+nZ0YqGAt5+A8KicVe9
dAACFnQcHbwY0dyN7bilwysXopA6u55HrCmnUfTrwcvWUQrjBcolmsiDaTGN0uQGCtCznfoXLUJr
F4n42uKzWNeW/47WHoAs0++V4FwsiG6oGP7zjVatO+Ezz8OXui6u1jhsYm/cISa+JbHSWtiI/SCI
c19b8Lcky0I/n/QNC8RFPkgcWKmxARS8hO6ba/lGltayc5+1eGK+Gj2UANZqf9iZlnPI2BdHWMl1
p3yAJ/PqNomzGIf4Rtl2u7D9Dt2unbs7S4TPKk8x4U8HOYivPAh3rv4GnuWRyTU7LecMGOZeesaW
XNE1U49Vb5pkJDj8GJL1LTLNdTMmH3nSfYalJZFBWMYK/PZPU00ENgiT2cxkpZyISB8GZzpSI5w1
KIsrLJUw2LAuoKJ/SBN/X+n3deYsJZuF1WT3D+Xg3xrQz62eadXVgpSaZOM6ZI0l+0MZWY+py/mt
azYzsYcyG352qbsfav11gs4xFlxUQV+8EIG4GUV4NEtLbNKBEYKXA7RQjzxeyCc3HJD2Aqcx2uim
W496d+Nr3otXTMcOBEHlYKwbnPbRsLCkG595mt7Uendsu4Gxeou5fWBPyzbAWlcmNFKPumNo6B2J
M7EbtFC0CQ6PJu6aR1Zk+sLToXsz/16MAcFjdYT3QdfWaYTsvQHl4OmktDLWYPi5ZqxNhxeAwDCu
dvrsoFu6RHEfP3dTeqxj+84bum7rjvPciFz6PcqnldPFRyfDWFBmuyaIX2TrfcVafh6nSyEea5jZ
C6OcE6AK/Y6blKKzn/YwrJ5tI+tZjuerLgqgBTinbihXMGo3HWgGe7yr3OLs6GpZVwH3rD3mJ/o+
5IOGvwKMe9sMXrL2I9gkdLLMXQexCjMR79zgFnL2CZY2Q9t9nSFiFmweOA5uw5B9l+8Nz8XU7CYS
pMluW0c9aKxYM6pzqQzEh36cLEMJyB8wF7EaH6xSNmV8y8p/2RfGXZqmgALsTaJPTwwId+QFYGQB
cU5+6TM5w0vEzFseDWelw9DZW3lrs8XT4W118iZvjUNgOhS+02PYwb4tW+eVyS8pLwxP5SSW40iR
kQ4Xx6y35pyAN7nOscv6tV8GPyTidIOkN14n86L0FpUk671Q+fshVm8wlvdhKz7zGL91Od2NOq4j
G73fJk6yHbDH/sTuOdrkzuCujCq6ZzBOdomnX3zs0evMuK1Q7uu1zifPUs7XgRkW4Zl7q1+xgu6X
BXlb9sgCU5PiVlB9YmFGnYA2FJkR4S+evQxFQEhsXXzkQq3sUT6lzG4lfwN6RrxJaoGNeMgxOVWP
zlRdvKx5bQn5YlfeBrB73KepHx+cnnXUoM6D0xxz31t0aXVlnnYhYu61ScSbiTWCZuako9ovx/gZ
uGO6bQp+H5IeQcvXFbkokxMS/Wdr98rl40mNcs3A6cDgPcQyNiKlsHNMCE4V4Sbq9z2rctO0tlNV
/LTidItT5d31sXCzz2DSGpiwOnnzs7IYlkbpfiFMfBrEwOoyttdsVTelpdhM20m9RsiC5c/Idu6k
3s3WHBZlrXj+Gp3oaGQLZqQ9mnT8A8P9NW/YTTMaz6XKPkbHKdd2ilBfT0kfiB1eDBQoQdO/dsq7
zdjMIdE/6V1zM6FDxGPCIrqu4rOZ+/vJt79Kn4JUr3yIKyEWNj5WzfPO1IVgvtkf20DJCUtJo6Wm
2e4yqHy2oYO3thhE8OrtG/QXa5Yyt1WB4ArDMC7wSDvj/szA9YSf6DG2cGLu9QbfLlSQuzpptwTZ
gs10+STjdTU765S1zyf70Ncoh6qDDCClOowQcqQJdBQHKV5bK3700nodNtWW8dECG8KyzDmEQHlu
msDbFpVcFflbUGc3qXKeu8rYDzCjm8Q+9jV64K5gVJqtDNWBT3LlXg+xZsRRs4idh9LrV2Vj70Zw
bHnzPDKt7/tkp3jS3cR4oZS7mH23iycIbo7aho0HArP2dpMWTKuhq67SIwI1pocIbBzwsnp2VbUS
qFslSX2ZMnd90p4M5zQwu0YhFEK4qe60yTqPAydXQSSCinjlNeHciiH4KsajjyUjd/RLQDBdB8BM
SPQmE3gT62dDfMwaVTAIS+NI/YbwOvwZmtln4NsXi3gZS1a7MPavSOjItAJxICr14kYw7NqfjSAw
ZeTopMesRXUjyoGXMH/hFXkqR3FwkrfOjV8Jd3zztWhVx9Gp1duLE8mllQuOFy84Cw6tyehQsWAw
AwiGp2I5FrDKRfqW+lqyGjX7QznlDRyCXT6MZ7rMFD8DcWnK2KUWSWGguNqpfSFia52g2oCawyQ9
+0it8RhoZ3JDFxmGNFfksFeD4lzLeomcGUMTy5/wwUwPFodC0K9sjmWst0GTLu0GABQkuN46T5G7
J+Tnoqvwq3M7NFN+yI6A+zNnio6pqSN+IYj1c+47bB5VefLt+K4CbEge6X1LIGiAQi1Mm9fgnCUn
s36MQBlYJcCmOkKnUO+Mvga90IVPTugwdSIOMgv4bUW3zrTKWmebDD1urPrTpmUOQpaQJR9gZZ7s
FByOHJK9YsHk18nRJplUOvKpGqoPVbbeurGx9SRd8CRKDSlV3KBTn5cEMCTveub0SxnU7gLsCIVN
zpoC/TQibnZEcAhYguWLzBa3RSBfWaj8ML32GavVFiYDxk+7eqriYpf30VPkVGuBuV6a3dYfKGam
a8fSvOXgjT13aYn0viwyTMb1djTE2uk0LKTnrheKYIzhxORzEeBgVP1PPBNwhO6aUh36VN3CqLlE
bGTDcSUTZzncD1OwyetNILNLyTp8pZkVeXhBwP0BDUpv71uuotVIpxr1kPsefcd89nv9Pmx1zgN3
G9KNhjP7AE1caN9OsbspqvY06OldZ9ymFg9Qveym8E2DaT6U35ZrxAHRR983O1ACp7DApKKVA5Zb
QlP7Uv5U2VPAuznm/qFH/hVV+c5TNBKoDsLmFBojphb3Ksmnde3mPRTZQtdVuxKzH8ilfoDs/Bw3
LBTH8qmcyNcqtX1rHhU+wXBWU9mUpAO8/xIkj5FeO7EmO4cxOBmMBMawgFAc1umjjxBuCaYhPCi4
Ba3DjUxS1XRwvCw+F65Mf2giUOvMn/I9G/CKGrJSzQsLx/ypbKZuMYVE2nVJM/7MGiYXKtLdcxVb
HbCmPF6Dnde3QkT0DpP0EHK0DFhcMawR5Oo/ZJYEd66VyqOODxZuUizTnTKL+CkHVLqGaKHuGS/z
SWpN8JZSDe8SwMcMPjVhrJvCzw+RQrK0RJoTrFm88cIm4d6Yh1OoE/UvvqX7w0mm6YOFG35EARfJ
0yPjISd3fGM4fnNxg7E66FmUHnXNqR7o96iPKcyGRVdl9V2ZEmfp8hMvNVVyt0RBv9eNujjmnc0G
W2P55VQ+d9xEPJY3Gu7eR2fCcqtLFPOvojwT0eyvuWtYPLNWx9lR1Gczc7xDUrX1QaEW0iniaL0G
/CEHhynTubEdY5mZIxGCZkc9M+rRQ+42zpNe6UzMCbw5RoyZNnBb/Ys9TPnrYE3qhtlR+Uijw/vj
1n76Qe5bSyicJYjEwdF3sbtGXIWKgntgjONd3avixugZtnd2NFyqXAXH0X7qULOywqu2amqGe4+l
36OGJYIohHA0XwXaws1A2tXKZmoF89hpb8i2hdTChfkWYH3cEVXsHo0IjlqEM+kWxnFzK4ymviSt
Ee3TEB4nsnSImX6IIwVu2gbVLCtT6vqFtAr0CN2EosDDfZjbUcq2yi+26dxgo20Lx0XgI8SNk95Y
GqxEni3Wa9DVovQtwp15UwythZjEMY7oMdEqISwGWBOS8vY2BC1ONZRUXZOMF5bO3KRFOnYPNU/m
iCexHtNtnpP+iW/2BztdBq993YpV4XVXT5OPbjZdMJy+zjhSW8C1BVptTy126QZxuRyOJRnQ7GZh
lDhiiViB0GHIMgJFHjvcl14r9x0+T2az9qeESYBL7d0mNxTt0LLz402TpeuMyo2LwSayblG4St64
vq0T2lw9D2Z+NTN7H+ruTWK3K9sAQB5Z/MTttotvTL16MoxGrQutfsGoGSxGP6SiTOW1s7tHTzMu
xYjGjIkj2X8xaB1t77vjxQ39jng3wgaFRiBumnUoKibzMrroRbAaQU7I1qoMGGr39QaV0wZlF95n
0950VbPJas1cActtnxHRLZq8PipcxKFyN36SgaivH/962GF9Y5/+MexwbSnY6IDdlIDnXWAcv3E3
2ZNRMQnZ72TyTJsfHqehJeeiZwOsISE46DIrb4bcn+44n4L7PpTiCrc3ulReKUlIlln34iJF/XC+
X5V4fmvG+f0R85sUzO8U8eHehi1CeTS+37j53cvJ2Xkg8IIBSs6r2c7vqDu/reP83uKVqp+875d5
gFt1aGGrHXyPd32c33p3fv8rBdYXKEN5TlWttn3bI4HyfA9wnRePq8yovFv41eaGPaGPJJ9TZprP
G9/j5NEbFpWl3VtXR4ycS0ZNfe4HQfOgR3n9oOd1enRNich6qpoLOHNrAzYe7b0nOPPm00/O56CY
T0RydYwvcz4lq7EJ9wGOPVWUwZql1hwnM5+rGsKSdfp92LaJ6ndj7AJMLqgzCn1U93YEIiSwzPiJ
DQ4NA3NfBihBL4/l2Ad3tsqNH57SoHeWCgFcxCX/fQmQm4TJdb4Z6vmO8ObbIp/vDQhK4099vkuq
+VZhnpM/GfNNo31fOvxp5nuf+JA1K5T0hzvfTvV8T3k4s/bDkJ/y+Q4L5tsM8fxj6CHUwUxeT58M
CY9IHlSF3sqon/oq1V/g7mFoGgFqPY/CYaiVtub42qsB399osawufAZQMc/mupUkL08pBZwJh2qB
cJqA3CS7CYIgBGZhBjcFA2oEUCVxOIhBpRbgebcrx3u3U9HmuxygFs0NMtMNfgYHLUrz/R0haaVL
J0Wtxz0NKIuHKQP0CaQ/uc2zSL67pWke04hDYit7l36VnTOVQoq2tF840o4/LL2466xEeatCN0W5
CZBbFxXdwrJlXcPAK5XEf6BAW+iiGNYIiu4xr+q7XrNfK9CG0IM7OomJunLi8cU2B+BiHNZK865R
VF6TJkjXWh9VK7QeKSq7DAIxDfsXTcyzxhr8bBFtta4L+xF1KxWQZmKpRCjDCYtABLlXcu/2Uju5
4RCvuejrlafH4dXR4erLpo4OgZTX0IiuSBkDvHgq3mUOZXab6gef6JZ11gUDu5uho+hpkhhlr3wL
8f/sXDI2x1GLkYoC7baYmEFuwyNM/bHoU355z4OBfKt7Ea2RHzKhW5tMDqSBVbm5LcekWhmdmgED
9tYNsLgnWa8tsBaIDcNUxip69c4O6466kIR2ObD7MPrHIh+eMH9nDz0QiIvpJsHWBkTmLnwc2KcA
vigQVKLjYJayKtIMYLegBjYuKlGUdV296UzetdxlrkkaAx2YPzoLgh7eemII96MRs/GYsjdhJFQQ
AmtD4rjNNlUWrgDWEDxW0J7LNB2WlTGL4wvsBfhQyqVOhOayiQTSEOISKC0KnXb+VhCttcKnyTwz
oOUPYDk/5V7Dn/BI1+rN/UCtuitfJ/a+JchNs0zLfqxhoxzRX3t7s1D6vFPBxuo5n0ZRp9fYJEjW
HThQCDP8pIv5GVnyGqB5IbM+xE2i+cio8wIEqeSzSxSeV0VNkUQ1V3tZk5iD4HOhxvCDzKSXPnlF
/g+PBvpMYyKxyZzbyYAHMcbZT1lP96ORg4NFOAt2q0kQCbjEE9F0+Dd1ZXYr+L7k0Os0Hh1MjGWe
2xUaSFN/VLztdK/GjyEny4Qcs0enSnbs/9Vas9yezrhAdAHq++Q71pHcXdStFu/XUHFJ5BrlAANp
QsWFiV3dyUsSjLp8H5haAJfbn14id24y/TmxcIg7vg7v/LSMmm4itRKkBMajYOm0ibZkoWteHBAx
71BjrL2vSf0Y9KSXEqNdX4gTaW67Gi4RGuvhw+P8ORpm6eyGuaLq5toKf1h7Y831Vv9dec01mKk1
zh6NnwYSbq7OOHHtR3cu2aq5eIOq+rctw3+0ofrXu6dfV0//699bYv2/xB372xrrL7Fj1yos4Er9
i+0XX/bnGsv8w7JMBEE4NJXLROQfmyzjD3ZHyrRJHZWzRZN11T82WULM6yrJl7jSmiUSf99kmX8A
q9RtV1hg01l2/UdoT5a4v62QKKckGgHkUxLZo9Lnf/7LKqvIYk0bbaOFuU3YQEsXz7jb3aUdomBD
DS8oxeZIoyBZIicZt1PefGFyfo5c9yV1Ev3eK7G2iLL/bJCPL+ImnQchkgw/zdAWA6ioh7jQ66PT
QfHmAMxWUweoCgjInSw0jDVmF5BUCyXR94sbp4hJVgzHgNJYvOQUJ+zvx/ucli4tklv6hXiV+Chv
yQAGLh5rn4hx8dKRCCFyrXxD28bAiX0SNArsRnyGHt/V795C1mPalJ/wiuMlb2buAlxn8so9kt1M
oWFQp/EmbDIjdJ5joYFEeShgEJ+CzHPIgHPstEfjOT55itlWGL/3QQVasEmSRdeM01mDd0+04QCi
E+M/ob6MCSPTbu/TMSKCOrZPhTSGvRmLdjN5I5kCpUJZURoIgFFHjAP7G2G0P41W3dSjL9dGZTl3
aN70pSoCEprqeDvWAiYSoV1nJyLRRxtq78NihLqTlB0HNA3FClaGifwP7EpcGcUBnJn8aOT4Vg0q
WIKnLpdF39WzTo//lVnFRyuVdvZkp++RKZDZhspjNSXCJqy1ajeEZX9FRgPdiuyzS6VHatP7+NXb
yEAAqRO6RTQstrKAWIJelRVTh8G8d6m+isILlzkAAJQ2bfxi5eOL7RbBsudOWZBwC2u41k/2fH8X
Oeioab7TYy4Voq7inZOrNzXf+7Ljl0+0bcGmN9BidBQI+Vwp8KuSnY5j+Bg6yZWFxNWZ6wp3rjBS
fwivtVdRyTkmFSe86HM01ySoQkDVzXXKFCuLLCJql4YixrGg+TvMos9tVD7zvKqvYa559Ln6mcy8
WqVzRdQVNe2gdyUnkMwCyHBoSAmhporq5nqKxY29wNP/mmSDvoua+t6Yq694rsPgddVgrvPmCfIL
9Czpov5T15k6nVm0m3Q8tKcBNty6Y6wEjR3G2zDU87IWC3G1Bf1u7zOPfRCVWlXc2nLADCA0bRVU
cXIBoJGgIGLBlYZGscHmU10w23UHYtfDnR+DJ02CgONM1dupKQhAiryA+XKF0IVBxX0d2e6WqhbH
p6ifDL8eHjBYMaJi3b4jOgXHjS0fuW7NbRx26VMSgeHkj6pb9xAmmGNHYFjQiHuvzNy7tReb5Sls
ahzZYy/R4uJY5bYWFZQir/rK4cStfMpeppH0X6QPD3cMAtWqgNrKEri1lk0tDxIBwAXNEFhvmBWI
hfvwrjfgRIwFmiY9mtJ5xzz9aEbFJY1FVPZOzmo2IjKmmIw7LyY6paWjmaugfNPoLDz02mNmLf1g
BS8HTZ4sGPWbgchQ8CQIlSBGyJXqSaMYayUfyWRydiXhoc/JjPfSdIdImQ49fGgjqI9wRR1LR4SP
KiyY4+az3DsQk3mfTIZ2g5droohLomfUOc96QNecy5kx4WMGqofbounML+wY3X3Yy36lhTUwP6sD
fh8OZL27QOYcxWaK7qj/glSRXpzC6jHs0QPTOzF+8HCOa04SbwxoDa6dFDda5R49LcXUhZPFZxep
ENQtUwxJuENLYr88kzc3tKJVOsT0D13gHO0kjW77yStOntFEF9RLTGD09tTKsMNT3JTPON3aBXs5
Vj/lyNhtrPRVGxp0ijMrqYsIB+oUP0bSj9O9F0x3g8jSlYngdZWPfbhHTX/HPcSkEofMRujC/6AL
ghKTEBM2lDoWP1KGcjNrLnnsQuNzgYtZGXkwmRmeBtytBE/a+Z0AYrVIQ9bzlUHHhyxi7sxcbzVO
BhW1BhJ7DyuvXSEAF6vvEHEsXtVp0HABaCn5jV6awOJ1LE7hUHxBsM5WStI4wVG4Syv5IzTdcUk2
EkIDBYly0AtrHXf0sVZbT+uu9The4Myt8sx70u2cW3H+GcyE3bYf9mqZN8p8djveZvIG5dr3JnWO
4wA/tdkJe+bX+v2H5rd4k6Osr64msUeijs5p33L6GnTUMyvOdC+d5SqwxbGlwfUIelyFQbthO4L5
WIvuncGYV80yegKMJteliQYDyswT+UhbofXJSnInZEgR1Stb3mlTquIzH3igZJ1cuxKLXDSQ65Al
+s3UTcwl0I5y20XkIVUm401NLav5TxqiiLexOup5N+XoaXASsgn+oC5+6xzT40MlJnOdIHWAlwQp
DylMeBg8/zYMyurs6kDtfcu8IxgHECIjiGWOfw7RJuIDugGy/iLH2tVdXF19rBsAMP1yK/FgEyaR
v+sap5BM45VnEhLTiI8xY5lli082jmLpNaQ4hJb4/J4z/f9y979XbbECniXt/7Vqaw5GS0hI+63e
/fPr/qx3xR8mCnXp2IjATGZ2yOb+VG5Z35WwrUxLVwKF+S/KLUlRC62EuaZp67SaOLH/Xu+KP+Bh
UgdLgqYF/0rnP1FugXX/vd4VrmW50qWIZtPqmL/Vu5Nbs4lGLL8fQxCamfMOxFItwrBKbwJ79E5h
wuA309LHvIjRJsWtti0RqLwPtnDOkVsbNHzuNhJkNuKa4Pam4LAz99G3U7VKKkWx2MIoXY5g8nrw
XXcdks1FD29y1RctqTkBSLlIVRWyD5tVJ8VYLc9jjS/QFciuHSBlTefdtdpAuE3KXAVeNx4z73EI
PHeDMYscjlSc2FbKdyckZLijs61z2B3EP0/nJJ3SZdMTOZQk0IE79oWYpPtNX3fFwoRYNjFcZcfU
ptaqTLE/D1AKW7/SsGf0d2VgU02qz950Fn2RElyINaE27+EfHfOq8JeY2Jdtbv4kFno4aIE3r4Vj
d9qaQfUQ8tle8jDNN92kFVuUm48DezGp9adW8GGqprCAHvJbDq34xs6abalhZGX1dbZEy7pbz9Nt
OJBfa47TjfdUK4tasSQcMihbUrUCYpG05kmKcYVReA1iaSxTu1wabvazsbuJkzzaGEirBlcusjG6
lmy1goLLsHLQZ3QF8zAmaSAIo502tneaKTr2oPXw2IaT2FtOui5QP6xIFMVwhfBmcEqftYYfPBCg
ex9YHehwrhm/thMSyEZ3GeWpfRF4ZRYskrFxe3A8RlbXW7exPW4AV+yReI1XK83vrbi0Ua5ZTPCj
NBgf9MSbGD3UTbFttMi/DPKMpf0RTHuznSKZ3faVpi2brjv7un0J2KDjj3/2kxEtNCC6ph2gmPcV
2db1nix4ilH/uff76ogpmuCZkD+q+qaqiBHKHrBIFNx6ytoJp0iWI00JaIY1IcVLvUPLXSpLA8Y8
6YvCLG/GTidaC935CMbedd1NDsYLzRgaiCfsBHRDQaqtAOzxvaN9CV+wSgr90QyxKoCLF8BAFma9
QV/H4tztjW0JFSETxruN4/I4wS9EzX224mlh6ykbx/LWalzGONEKY+59NQXGa4dlE7RkHq5tUs4f
lMw2YJIxIpsjGxYrrbQLhlNxi9kT/IoCxZFZrvhR2GV7bLB6NMt6FIBzS6s4kFs7HiO7ct/xiQG0
bjP/qBn4OBi8t/uEqNbnyPJxm3MthafADPR9EPnVbmTBd60djCU8qjW6KH18RYhPUH3Z57eBJP2V
6K7kjSvSwWsZTstEj2HxFZk8BmRGHwssshtD9v2mMYx5aTgNZ/ZZ6XVqwuHqFml7iPQifUwrTLNl
h+NnURWqegcb5qxKI+husDuKsxJ2cYo7t79D7mLdCINcuUavjFcjSlraFsgEA4ndRzAp8b4KlLhM
VR58WfaAqqNOx+qzSGO6Vybl6owdITxHhepPwkuaY+IBPkb/3um3LjDP+97qStIFTeOUxnnwSFml
EJlhJONRcf43e2e2Wze2ZdlfCdRDPSUNtpskEpXAPb101De27BfiWJJJbm72Pb++BiXLYTkccR3h
yMpbwPWTLckUD5vdrDXnmCeW1usnKToGSNMIuSnXFu7WUKY68/mACCFQIEtA0Nnuq1nmO0JX66kK
8XXvB8K6Se2EWYDEDN99Shz8qkqRsInKrXrCxBiG6qywq7w7knVXn5Wzv7cN9GFFcnW/GE0YBkaf
TKseMzq+CIxwaDNuRVdrG5B2yNNdOVdQayNfOWGsb+gt1Mig4hDgQRsMPHOhcyEyXe4bPT0jqQOo
d+lPF2zfWa4EnjodQ1xSPEm3DsZP3Ki+s6txUSypaziLaHRuqoomXNv26bloQ0+ueuL0boqeZIGt
D9JkWtbuVJJRl3HgBes6tiUCt/g2m6IAcira4WGrp2EEPxi35nvQBWW8KjvinyH3ZbcWLKT3NY4q
WI3TRjO9q9YFEhk32XJEFVpkILfLxkW7rSuBg4NoWytEX5QayPJb66oYmpOoqK6DyvWWRQ68rxsc
8ETxAI0piNeJgRwM2ua0dHs5Lo0IIeVkd/ugyk/cmNc/jgk3gwm06bMYtHpbjeuUSsGi7EV4HwHG
A5LQ2xsNNzGpCCSg5DgUGGPgr7pRIq+KiUitog3TM5CZ7gy24lGa2L8vJl3oJ30xB4C05C/Gjuaf
to4e3UZ6aJ6EsSjPyPzTr3JD6BdRYtEq9uOu2XOvhxPsxfFpr+NnZLXJ885Sun5wQyTaC8u1osdU
5dlyqIJhU81vCnhJsffmt8ec36N2fqNU7eG5DwbrLMF4flmUcXli6xnzc1R3+AmZKjNR1QcszHNC
o29jdp/fYH9+lwnyHm4COMM33fymQ2sLj9Cl9Sy+GQfieUQYJzplhZ3TKCmz+TkovWtEfuoD8k0S
5+dxZZpHGHsea5x51Gnm8WeaR6J4HpN8rdCPEpogJ1koGLKGpkrfIUxuj2RCRknR9OFeNSgTu0Z4
B6nMcU9gNIUgqBgXRIEzMPr89J4FiLhnfx1tBykaVGBQxvlp7bwtQwFreLTXcUxSAtrlcZb3BRX0
83ryWaEABOVje36CW9p0XNljdQoQEiE0FOnSCK1q3KU2xM2zzJXeUndKRy0mNrLTyvSRQiBf8sET
Zaz1i3ewmSvUvU5SEGKdEWW9y8OqC0/ItwvZENb4YBdt43UtMqps7HntYrTGeqghoPWiiOAsfxxK
uquTA14Ujsmkw5KZ9wxFJsG4l411bmmdeeqFg3M5aCjkFcjWdSVt46qeKsDZ1gQGfluKSKm1VhlY
jwKqa8gkC6prnSCl3vMxzS0qd4q0dZsqVkDseOn+uwybd5NSsbUEUGcwtoxS+jxiRmmcEOBnXiX4
YZAylZduAPJzkhJNXD0Wy8bMdjW5RPipmtumOxEIRdkr6qeu5xendgyrxGy0AN8xeXZJhUYXpTw+
rQDDYOGHwyrNi36Bz4GaZCc/FInfb0bZ38ObL5deZQETG01C6sv+LG94R+EhfIzdj4hp/ePRpDIn
wKmuuoZpwMpLe0GOypZce/q3xpVEgwNY00O3CzQ4Sl2xDFNckm1pu/sG1OUON166jGNyLz3tCmQH
c14MblJj/l/rU3Gv6lyb7xHqprGwFlXUXzCd305GEX9yAGIc1S2t3l6Rx4Z3t18MgJbeGp4+rqRR
jp/oaPAMtiF5ZyipG10ulR+TR/Tvfd6Tx+eH9nk2Junf3+ctIzZ58W+yVHSD3df8P593eq4gZExn
h0UT3aN/MPcvnnd6fId2BsQKgX/q2bzzubFh6W/IPCFIZfZsz/2QXzd6fEt4wKtpd3g+47fx5yw6
/PKvrTHsPlkz6C6zAXOGTaTK674GgZJQ81M50kOvytu0zN270oW/6CEinTkw1fAextjHIDGqR96Y
7EM/0/1EF0Xt2q77fO12ebV2mYHuKgPKfgeafGV4sXpwVNi++/fD+OMPo/WHPbbTQzY32b5Tc/i1
x2a/4blE0OHZjolpb36qvrjF5kQfguuIpiAHb+6+vfTYnDe0uzCqoZ5AXYO+5teag/XGswRSI92y
6IlZVEX+hFvM/I1NSydFzielz/FRNxqON9ckvlq9OmUNaAWK2E5WcbobUS0Se0ZOdDNh9mxCMwTZ
PtwkENq2dqecZRhNw21aN6AKjfhdFfrlqVZ6OJiCdNi7qMGv6s6+NLKUYIXJYFPZU+QnqFqnYUMF
bRFVAYhfLz1tEsKsKjzJNhCSvUrqKw3fGm7TIfro4IlCHyhBBXTqQnp09OjVp2Sn12JER1q2LOGo
jUyrgo7ajT+y3x0CGO4YHopTJtAhWqEzoLgc5ShlSC7axkXi7jQIws4OodNwTZEhuouL4hHYYeau
wsYCxTjE8kNMlg9cP30HE4fkagEmK1LJvseJvaotMiIyG1UQ3ZeV3c6iLqenMYLR/kqGqoTS7+xG
UisQfMzoxxiR5lQhC+zKGEllFN/hOyJgDxAlqjcyf9lkQ43vHQsFZzXLj32UknpL6hHsUhZhJq4p
CibFld7Lh96pbTz9QbC0ohF1rwHYH/ST/iE1Boq29Ou77Yh/gSnWDq+7flg2Vq9ddy0Bp50S2lb1
TpCtCsLtLmHLeIgew57uKdqHDthWNR/T7FlQMa8n0BaftkvxvHMKSHCCjmOnQCkhDdK5UMLcqQKQ
JwHXSu2LQTVyE0wmvRd7qJMAmVhAVGDkaf6+y5HiNWYVVEc1Lrdoi9CiO8ZtU2Ia8adSrDpnZBlD
Ya4LloRmKxTpqY0Yt7SGtxnMiA47c+1S+HZLqsFdmqIpBC3gXzQulYdFiq+3WpLo4DB3IwaHlGtI
8BG1qE4ncCm0o1C8zlyQgHIFmGlj1SCFwWqk5pAI4FvYxLpzx7Zq43JMwAcufVlrrOZsV7nr3jbY
ffkVu7griYoKaB4hgOUxTxhJC4p9H9EDbmmeaVoPi6WI071btWGIs66oii0LNWQmkh70cfOkdO6N
apaY9/5l3bFtTHTBMrMPoLRixtObdNUBFWFj4LJBtM6Y3+5U7V4MkvaAinWTbVi1ixoqNk6ln6qC
Agte/KturgEV9nWbifVo2ONZPNdUUoL8+rY8kWGwspIceMCpSCm3Za7PQjSclk0F4N02e2fVpGN6
RIqHdRGPlvbI40y0BckkbMCBnWsrAuQudR2CYd4Pi5QhauOn9HX5qJ+s6TIll672+D+GUdylmikv
a10/Aq8ar/qKPiCmFpt6ohRUUuiNxyq59gstoARXX3hiROg6oiPqoVZ0DslAT0Wr1opuUquLgL65
EN7JtdiVs69RiHRErQMD0kjzejlCOaWXmWsH28ZrVbpbCFURjRvC6LvCnakAerYoc2vlwmADM+9j
BgyMLD/VYyk++GN4bSoSDmKkhts+UAWvjNwkNomHhkWYLDZ9936yJ9bmxrg2vKE+MU0JXQuZZJSp
gCQk95qh7zSUSA6tcjQhU3mbBvjGKJXa2KMptqVPp5Tm4NYW+gMZlqQNifExTIJzK+qBZE622Ni1
d6MhQnjsGy/52E7hp6+WSt8pVpji9dIDwQb8F+QUiI2ImJttyq+H+6wYQKjGhr/TwkJfRKk0F/6k
6IWFQ+GcR8ij4qU2tSB7HLA8JIYP8V0ocwpeeBVFhzIBcQFbO8FbJ/LAv5Bm0c5EiKQimCCOPdbU
RpJjEgFh8javMuMeKjHvs1H1PbCDQrnlgjowpiSsDWgjBnxwx4kRtdE2wnGGZ99wGCxAHu3ZsnTd
xnkaTXCSMLKUT6MMtim1H1JaRoCVR9dk19bDa6uqjCKCDp6Qnpy8aqRGPRTQlHtUlRgRqrkCYAZz
EkQTbjCCtCcKIFQPCHPTxqSgAZ44gTrc7x3Mxhjsoj0KDbmWJtI2iJDRCr4RuQwZdDpoJ1fTXLOQ
DGcnIgucbVmatOtQs7NDjSFzDeSQZJl5DMumeTTQUd6yd8zXpRUpntW6TLNtnRjtAIsn91s04YRh
11Rd45XQZcXTbXuMQnZhyOQ6Hmuj349QIUhg6ynkOIO5HnxBxnNJ2rbvhxg35kKQmEtCNbWhOK/k
fgwN+wI2HvAtLwiz9wwKcOFKd9o4eZ+vAHiRKpqKUp5DW/QeQhA16ziTl5XKzWOh47DPEcAbpxSm
E7xj8z6ned7zNOkUn6RIh/YR+9ZzAIza1kUigAiWTBADUdwFbE6iL90wvA9K0qqgZ5Tth9Fh9MJ4
ZJ4HzixkpGEA9dz4aKvA2OlDndIscJDJmGl1oSh8LWIYySrNcXaXBNn2dYUeResojRCpI4aqXFNH
qZY12eTsjvFvjidF49xF4TSsuXLvALgSoJmQPptDzFwDIJ0zoo2b1G9yYmeHXQXvmXmu2PqD9RDq
Rr8RpXZforWJ8AsZ2yJqji0XUoghT5Rp7Os0eBeE1gpo4RHIiY80D/F4+2d611Fib1tnM0ztQ0rC
w1lSWo+oHmixtoW9Mly92niD5u1yoznAw6yPI4/Q1lok0cMIh+O4E159mSLjPqprFAWyADmSpom3
7br6ft5NLDPHeuhsWg7w5MUS5Yi3So043tvwLCdwhVvS1gwiTvxTTA7j0kpIu80ybVxZrpFvrKYI
lmVL47hzKlz4RUsHG8+fz81OyNxaNx51eCU2eVE3p1NhVHSux3Hr2gWl8sG8xlIynCrDiI/M1KRw
Z4wEHNWGOEMeYVwmTlZfOFm4hvkSH0HXUsuQgpdaBBmUDOE7Zo8MU9mPNazJtdkaxScUimSEJCLf
2MSkrNIarKOVmrOq2QlX0krktuyHmTs2K6EHx0UULYbRfOc+SaW7CtV07MQNph9bx4kRS/kJGBgi
6zTAfyGJF4NCbA51sSV2LArX+LZTFAjM0dU8WydPE3fxNImLpwndcjHE7bynib57mvSnpwXAjL+l
4f60MLCfFgliXi9QqWz+vfV//JHdlmsT3m0KJIeW4C+m9ccbr5PDwyGJvt53ffcAz8UA0lNRKaLh
MARJ2uz6v2zBXPONY5EfTsvV5i/mrzswy32jMzsiwQYd8Hlz9rnra82qSdfDok6VgEAh+091fb2Z
/PFVNYDMTdu1oU5xmFc7L1s1eMuTJtqp3k03LSfPIpHIJH9J+wUwlEWo6t7VMm/bwu2ghOu4xzno
NGImREOOWzFhqcs8CNYrd1DVW4eY7rPa98a3RIj5NqkvXlZgVk5Ze0Ea9q/oqNaXbkIg8NKVKeJm
y53gny6KMNSqZdEZAfQLHeFELUsz/Mg4rRXkhOX2aW061jFoqf7QBWP2sYgSh7WQLYttnmYUSScH
TTp4wBoFdj8K8aEakZwvrNwfxu2oN3ATTKW6kvRiLdBmn62NS5cRujwGwBNfDoXrhEs5VeWNQzHx
uvVAdIqkZTcwjJV4b45JSja3MWrLoTMTUrAkawCowGAZFkSV6e9LCasY0B9hO0ufjszVkMWYJBxp
dffS0YZjX6b2scGi/MrRnAzLRmxem45s37HdcS5SLUqv3DQhV7qx/R1qpWnb6UMG9FW4wUnnEOiD
7BN7cYhN1hS95m26tkLkRYZddO/3gNN2mqoxgyhTdOC3kn7aF5qwPvW0TK7xEk6PcZ+mhDKHRfme
1Yx97rejNICFyqBapvBQb117Zra2bdpcRIjczyjZor30hwKzRktMwDZRMaVnGXb9rWsI7S3Vexgc
SMv0W4DaCOl8gYV/HRPPwJo6Mj9Koy8JDgM9bpjkHqAZCokdzQT0fyj3qbtOi8DfM9Q2J0x5OClL
q8p2rizj+sjGJ8NO0MiaD6mdaPi27bZ+DNNguHG6nIZWbTe0yL1G85YuJspTpHOoH9HOKbVqfBs5
Xilr/xxfHSBdItgIkHX8jm3LqKmcdsgEvnKRjmVur7FVa9YGqLf7mJHITkCRKomjL2RWTGt0o6ig
ND8FWd04pKuCl47u9Nm2QAbfQOyjM7Dx461hB0HiadrDZ3BbqvZBNbTLGF85169DarBkjZfRRHfG
6MqhdQVIsBbhXUos3qdYFnDfK2UC3AhEs8Pd0hr3BczLlKKFMDogvMHEIzWQn4rBkjyoi441wUnr
o8MlcFCxGej7Gj50NFCth4650uOUf9dmrZ0YWozDqGtb/4OdT5O8aKJOwJ4YoK/LfkxvgabaDzDZ
4vdkKQXeoiK6rlhlMSELqFmdjdS1xF7OmI+jIqIgvogkTZBFrCGnWplZqehn5ElDqcEP283oE121
iKbRe/S7SpirpPYRb7nKQXcxNO4lYK/6iBU9MeEqbYdrTfn1R79y6neS2IEzHJwsE9u6YV6OBiw7
ReV3l6AO6ne4M50FG9h8P01GuSFQXhfrgYgXRGJd0K3hMDfYSPKIvNUC+irxNzlhm5PsCggCdbLP
jMSJ1kIKkDmSLuIRWExM7QQ8UPThqewXirh6fJgO/fpOumIt6ry7Z5+C5cWQGIKXyJqbU0W05JVA
WoYKIMiLAMf8OGxnbsMWErh+hGKbNFiT2/i+8pPpATIz4mWz0cdTHcfSaQsE59SHokHrPrfdqz4t
4uuu0+hmqE4YR3ovpp2NWPcq9vruvA5NQdxMn2noQ9vsLs8jd91NhArXlGRuED1kMe3/cNoAeVGg
tv0CI3ej06NC1yI/ZHGfn0tVOah+wxnCNgxHKE6nh3a0UCuPUZQbbHRzQvSQFnPv26Qgm8Tuw+I9
3pUEfHFoIrGEBwZRfXArUNF6c8vdGWYMX2ic01nE8KTQQR5rztDXi96rLX+be5LtbqzRDNFrqy94
VmX+EVmguGnsloew1FtsZGFfyg/AWIo7JPMwacqympOZW7txNraYTFh0iST9sHEBlyPI1Yu3tWR7
cmV65KtySywGHfQg5crSMt3cR3LU+1XH5Z/wGjezZqiARL4zVW/ZR5VOjsJ5URbVKWSQAHNU5o/J
ClaSf1aVrvo4RGH0KdKqfFXUenwTmlUNyVVZTDeoSpE5lYEksTTM3TUeZ8QtIQvNnY0cFBVNjq3d
7krEHha7z+O274CxOJ1K2QDlDeBmaWKmQ0tMtcELhouegJBppSH03nakoRwZNNxpx7fKXkI7cYYN
+SHyxKoMjcjovLGQd1vRtsOh3A6UXyJS74sFiOTpZJQQ+do0zeasC5tqailSia0zydZgmPf9AJhu
QVN3LtpwhpdF7tbvLOX1x43GigMSZOMgvUnonZHkQEBBiLzgmNfGyd+lCXvAhd3UO1d426ZWeJJH
Q71XHlHXjUhZP2Ckx2+V+eo4snq0VIasQOrGdeDoJOZOGeOQo20r48ryhkvToJno6eS7KWYDJuq4
uVGZ8vY4GweUOIG3tLO6ucqCtvtkM/lsEUJax5aPuovt9Gqi0LmbeqoyZlPXt9bgWDsvccgfomFJ
GpJH8gBNUZzM4KX8i9YwLOg5fUtNlOLjMWzidC3GuIUyYCCRtlC6oUSL5XBCz7GhjZzrbKmD5FQ5
DOQzW4gAWmMI83GJUExD8ykMGO5RpxnbWo6+xPlfJkdTXOdXprQVcS69dQLGXu5Bwtv7NmrBzlDR
r++w0Pmr2sm8ezEGYElFZpfndqq8KzTJLgr5JkN4WwSk1A6a+YBt1YRpaGSXpaQiWxK3Ya/TBOmC
7jTFrZ7pMd5Zbn+OK/kujRJ31tUlU72IRagvDFe6ZxnhKfd4KhwCwEjRXYqqKUi3853l1JTNTWnW
9T3REMWFoJN5mlWSonafSDxlTk28EbFj294hfhvPWWE1rLlM9wNoLmQQ+UyUFfbckHb6NHwMojI6
TwMNRVtbuBQN4LZjgigagwmUcPv3nT26NJHo8Gu2hde/1IPwvQuwAIx63A0fNAHMkugd6gOykQNC
Xim2ESlLcJKEdewPffKJ860uKGONH/2phX46FSPpHkOM3gpMgddQle9pAsia1IYVacuQMIUzjpce
oPYN0ev9WypeYuOWWXrwTcFSo6iTmflfB32zCKomg9lcWuGWW9WfGGHYMDrEQXUZVxa14rwQtAOa
STFSmfnQKPRxURUfu1Jr823bVFVwxPaM5B7PH4TaEIlknNVFYb8z3R5rnFnrybiJu7RDNVl5hDPH
Jvr0OHTRKJJeUjerrgdKTl6JPlnL1iyhUwRjX73vm7iSq4pGeL6MJxWcxshDUew0gu6xkfkTWbxx
cwDKyaTWO55xlXQu1x/9ho3kOJUt/ZBUvbXtqLyiD0DaRMV+6EqOtr/qjI44VVN39zFNeOLBWv0x
hpFEsoFTZ+aaeTdjADQhGKCprJxrDLIxAcgjS4JFX9VRhtZ7AoVgaGxhLshZ64JN3zn2zlVmnqPT
swt6KfgSYV4zVXSnZlxDleEuhOFyABK8FUbjXSllFuVq8ntvWuS+sj/JVPMRnxJCc+s72kiosqY/
eJ5qW7gpEzN5gp4PgMIgkU6XbQmrT0lZACFpohnlFH4ywzy+aiZMmKNfGPGGNSa5RbYXryc3ry5b
L6sRQ1YMURlmz83Iqk2u7AElP+59j3GqTTwqv3Vw8PvSvNIzlhhrVr2+tqxS31HroRDDbF4nEoLu
zsQaDQSoP/HBF1NX5hstyIZ15Vq8JjbzMuCdAQlpKfX8YIEYNi9kF6o1ZDEgU4U5XOS6QsyYFXmP
3baokNfzVJnLIC2jiwBc+5FFBeE8AVlSLUZR471XnVkiOrVm94bLIcNbGQM+ovhpFW8LOi71qvQD
9SlX4LQqS40g8UjbXKmgxJUmtWnltpT2qmrQyLKtGoJSLIStAXZAoCohzoYQosm6nTBPBEWcOAtH
D4tDpLRqn5BFwgKfFJad1qBjHG2EHVv8Fu5wSjNEQ/nTcRQyePDVujQdmNoNYW7hKAfHKDGq+1H5
LJonZKhXzNzgUSzs5Xv8uRniHT0hb2bIra2u1cBVSswmLnPIOqzMci3MiCCETLrTkS0jucCL0q79
nGyCdqzbU07aPrYtU79jHTBjf/1sg5IL+4DTKMIz+mAKaDOUCnM0QKJBJi2+ulbDAw/ktMYUDH2C
3Nn40oV8ujYK8BsLx/OdvZ6aLKecJFgTb/WRdaq/1Xkn13nb1Gt8E+EHEL/NxxF2Ay5d8l5W4Wgm
H8I6dy/hdNcIxuxUHmNZVdtJm3MQw2a4wSp3QawtKkYdGIwTV7yX5oDgNBDOcOyVXb+zCxXuhSgS
rruI8cPgKV6iKna2eaKb78pqos4NFFrMK/SUxDFdx+vj2vac6xxKVrOk+3x0GGJ2MctSlEuDrE+B
5+H67nDAtFWH48fUSDVbhdakjiBqsIjW0zi/QfTrbVjCiQuBe/zankhQx3emXeTENq17gnMx8kj6
oqVWYHJg5DWPROh5a3foohtePYDKwpwY2oK2YHgMgYfXbeeT4ZZRO84IdECYGhEPBZEQRIHnYXSz
hJ6cOppFjFAcEbBkToNHbU+CsFBlOK4cHd1tpMOvJwtyxFTfyuaaXOT4tlVtd+FroXPPu2tcGFHl
P5Z1VG8wxgfw7MwR74dGj+2d2eSs6o1EHjmlkHhIdJxb2NfsZdowXsVta1Lh91JcylkbrdosTbeA
5EAzgXU4MgtRrGg1DHtN8WETl4MsqNuVLFnDHP6Jstp3FVNdxG8r1UbXDY5JifI6MMEaNVGL6XFs
CxMFKdQIMIUSCJ1lDqc51muDKKa+dZZ4q7IbIzXkRhC5d5Hb5ieXzSCzMv2SejWQIn4y2oP7dp4+
112SwIFWg92/FUzK3MupzL0NnMbmgbyHcfkfbM5VEZCttrNGhxWNqoZhpQsJ92kaI/SyTCntSuFK
rJ8zAf5uN8n/X7bo2e8Bifb39UOnjyHxtYfx8HXxEL7v5//4xRjt0orA1GGgv0A/xCGfRRue/8Yz
sD8LxEDu5++8iDbEG13w28lkpdjoUtL+VbThvNFN3TEwkiARpqD4p0qG5lwL/apkSKwEsiHkSzqF
SZuD2d908XB6NczsrthVfmWz+i4T5iwPN36FLzqOHoZEqWNWkUNxxC6vvbaN0QvXojfktCFEz7ot
JS6TrBGCHrBIKDqlsUZ7zumbodxSDLNu53b7adD3OsEwGoR2y8nwSbmDD4LHtm3p76CCeMlWH72y
ONG1fDiCpQYd1AmptHsBsOzacekbdnSD6KAa2o1vtOXea932rrAHEr6lRxC4rtgiZd6VTjMKlAZF
r5HuIQmOvLZJ3VX3jP0FYQNYDEvkk2F4olNUahYVqKETJ6oLteptNM1wpb2tPal051KXOy/N2NwF
jjesQmeydjCaUKHYgF/ohwwErqpRXPaR5d94ue9teyPpIYspfylHSnSUffU1G80CK4qPBiUS6FBs
s3jb5V7fwp+iXrko2WQYaF5ZpBfxmK4pzVo6feEgxpqa9d0lKd7kKYUZTaCTMm6guAVe11lIChUt
bD8rYdnWCAtIhtHwE4JdA9SwCY2R4ZvtkmZcTgbJlOdVCPri0rB1RIuTXgbVLpEaq9uo8IzpqNUb
MgACJhIWdDIwunXbksexoWuu7qhPlc4lYUMwPo0JuwROW9NOsF+YybiwprprN4Gou63b6NGDnheh
u0yL1N9mVWu8dQIWwKtQD0MQS/UnH2Rfy8h5YWaeeZJXY4EUW9d22uB1d4THDAtyVi/6IaMzXPYN
K/khxUpR9StqfPElym0U7bpKF7kKJEsshwyfmv3lg5V27i4HYhFvY4B1xkrlerkicNGjGiwJHhxd
vKmrNG68a2Vo40kfYGggYA9Gbc3w3bAtXrUWohsiXNAKhFZ+rLsIdLTaD9d67B0jA58zQozpJiD/
asNi0Dkm3gBDrNS2BHwBO/XaZZLX9fVoS0ItDFGfa6hFNj1bEmZsC7uCrahqL+aqTwrvhK9vc9yM
J/jC6EVKPFQjLt2TqqRbOgfwxDc8re0e0AeZXbqJ13Qx+rE8GsOEEkxOfQEDExSRImyPKOgm5z7N
0/cN9xYhSB7AdAzNAeP/2A+Dvpi0nqyGag7tSd23Qxynl+WYb0EWqnXpQ88l5iB+cEytX1eeW1yn
bVgjm20l130WGsqwfO/6+LSBQrWnRTM+sg9kLVKMZgo5JWh2iSaZ0ypXS+4IbxDXfQ77BYV94n4o
xgZuiZ4K+2iOa8JfNLSgCbCfCs1s1w67y41eViWYQreHguoQ8mAA+1YDYDEbhOpO+doxNTfBCJMO
p8LR27tAr3Gy1qG6CH2rPK6p9R7TGPDhH5ZwivouaP57Jrz/MVrI55n7u9T7Lwj4+bsXeZw1N/n6
W27+D/3Qi1rw+wf6QYy+MDyLns+3St2nE3sC+f/RcdQB3n/7AKffcN9ACZmnRGYwLA7h56+7/htd
R4GLFJfplD98myn9qwv0e5fgjz/db+MFfnucV2d+TyG3mWMJwNJlr1YMs83n1Srjdz77N0f49bOb
tBEdcslh9T9/RtYYry8BnVCajD5Sz/kPEtD/kUvwR1kKs+Ya1N2PXIdvDvPVdfDeAHmB8iLE8wdF
Df31dXDfEGNg04o1ni/Tswv4//2j8M0HeO5qHz38n//lohAyrefb82tuxe88Dt8c5avLYCL5NWHt
2GjT5z/fXAbjDd4yHVaP8y96GagVGN+Kpf/sRTAQSxu6baKJ/+5FEG8MBNMGA8/zRXh+B/+FnoU5
Mupbm/qfvgj+G6TiIJlmf8D855sngYuge75lfh4a523Gv9bAAFJKPJ/UX38dDOMNLgtozbNz4+vh
wHuDfWLeTD0/az9073/gh75MnYShqoenmTV+rL/KpPmnP/Ay8/z2AJ9nlHmsoMPxRa7/9IOzI+b5
0M8Dyvzv/3o1SDzNel9982UW/Pq/f/6Av/3V3z2ply/u4sfqUN1HoATmAJ7Pp3l2SJmZ/wEVvTr8
clEdHh7r6NXMh+vg5d/f9fN8mQ3+8Ph1/TpiZ5bB/PxhocQeqpfDzBfc8k1G5l8v32+ygX7obHeH
ajxkr0sGluPxpv/0keP0cE9B4rtX2tYtZtef/RXHhzRtf/nfh7T4z1/2hzpK41dXiNHUZxz92d+y
P1QZS9Pk9UV6nhN++tg8p+qbAxPP9/MnfXJI6ujw0D8+Fi8He3pLZ8XXyxf++jN+eniIxu+/Qxz/
b3jazx9iTv/lROczN6FU/w0386J9aO+jx6oaXx2cqDHj5Qt//bJctJk8fHw5ztNZY3b6G8766iAP
dJMOrxbqpos5/+WX/fWTvo6TJH6VCWbp5PP+/IFvDmmsfjk7PLQvx3oatp6n0J99cW4b4jW+N7QQ
yDUXDX/2+O8e6+aXxWMGeuflYE9nPy9TX77w16/56YHBnAGreU2x/LzG+tlz3xI6A6/i5TTn8/6y
kv/pY+ev3sr5uML8G4ZyZuVDesh+wQL7y1l8n3/k7h7VM/aofv05yBr+O576f1Rt9vvTE11HA+ns
y2/+iRv9h4l7vy8f/qG5++YPOag/efDV4YFV0tPtgD9V/bI7dI8qfrki8zPFNdJdy/0bhqB/Qrj6
yU/yx1bWnz34P2m6/OThV48q+vaify5N/OybvPryvtFe/Oa+zr/ib5gP/6mj/SevDrnMh6aJ6994
5nGCeSa7qZeP9ddf4Kd5BkE+L8LLwZ6e/c+/4W8YIo6ZCn73+H/DfuTmkVE0/HaN/2uZ82efox81
LPzkvf7+ePTLP5gvfvdJdlkz6sKjA2obDm5zY+YR/PHn/d5+80t59re70Jey6/f+2+st9vwT9+rx
UP3X/wUAAP//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800100</xdr:colOff>
      <xdr:row>7</xdr:row>
      <xdr:rowOff>171450</xdr:rowOff>
    </xdr:from>
    <xdr:to>
      <xdr:col>9</xdr:col>
      <xdr:colOff>213360</xdr:colOff>
      <xdr:row>22</xdr:row>
      <xdr:rowOff>171450</xdr:rowOff>
    </xdr:to>
    <xdr:graphicFrame macro="">
      <xdr:nvGraphicFramePr>
        <xdr:cNvPr id="2" name="Chart 1">
          <a:extLst>
            <a:ext uri="{FF2B5EF4-FFF2-40B4-BE49-F238E27FC236}">
              <a16:creationId xmlns:a16="http://schemas.microsoft.com/office/drawing/2014/main" id="{D403C947-BD3A-C3D2-64BC-E42F062D3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426720</xdr:colOff>
      <xdr:row>23</xdr:row>
      <xdr:rowOff>171450</xdr:rowOff>
    </xdr:from>
    <xdr:to>
      <xdr:col>9</xdr:col>
      <xdr:colOff>518160</xdr:colOff>
      <xdr:row>31</xdr:row>
      <xdr:rowOff>60960</xdr:rowOff>
    </xdr:to>
    <xdr:graphicFrame macro="">
      <xdr:nvGraphicFramePr>
        <xdr:cNvPr id="3" name="Chart 2">
          <a:extLst>
            <a:ext uri="{FF2B5EF4-FFF2-40B4-BE49-F238E27FC236}">
              <a16:creationId xmlns:a16="http://schemas.microsoft.com/office/drawing/2014/main" id="{73B57760-B326-94D9-7461-8D627448D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327660</xdr:colOff>
      <xdr:row>34</xdr:row>
      <xdr:rowOff>110490</xdr:rowOff>
    </xdr:from>
    <xdr:to>
      <xdr:col>10</xdr:col>
      <xdr:colOff>220980</xdr:colOff>
      <xdr:row>49</xdr:row>
      <xdr:rowOff>110490</xdr:rowOff>
    </xdr:to>
    <xdr:graphicFrame macro="">
      <xdr:nvGraphicFramePr>
        <xdr:cNvPr id="5" name="Chart 4">
          <a:extLst>
            <a:ext uri="{FF2B5EF4-FFF2-40B4-BE49-F238E27FC236}">
              <a16:creationId xmlns:a16="http://schemas.microsoft.com/office/drawing/2014/main" id="{0007AC03-CA9A-4301-6244-DCA7A1D89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594360</xdr:colOff>
      <xdr:row>16</xdr:row>
      <xdr:rowOff>11430</xdr:rowOff>
    </xdr:from>
    <xdr:to>
      <xdr:col>17</xdr:col>
      <xdr:colOff>457200</xdr:colOff>
      <xdr:row>31</xdr:row>
      <xdr:rowOff>11430</xdr:rowOff>
    </xdr:to>
    <xdr:graphicFrame macro="">
      <xdr:nvGraphicFramePr>
        <xdr:cNvPr id="6" name="Chart 5">
          <a:extLst>
            <a:ext uri="{FF2B5EF4-FFF2-40B4-BE49-F238E27FC236}">
              <a16:creationId xmlns:a16="http://schemas.microsoft.com/office/drawing/2014/main" id="{C9EEE24D-B2D6-5E96-56A4-2AA9BEB36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213360</xdr:colOff>
      <xdr:row>34</xdr:row>
      <xdr:rowOff>125730</xdr:rowOff>
    </xdr:from>
    <xdr:to>
      <xdr:col>19</xdr:col>
      <xdr:colOff>480060</xdr:colOff>
      <xdr:row>49</xdr:row>
      <xdr:rowOff>125730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D8BCB06-4DD5-585E-E4BD-3E035FECFF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652760" y="6343650"/>
              <a:ext cx="33147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190500</xdr:colOff>
      <xdr:row>12</xdr:row>
      <xdr:rowOff>114300</xdr:rowOff>
    </xdr:from>
    <xdr:to>
      <xdr:col>24</xdr:col>
      <xdr:colOff>190500</xdr:colOff>
      <xdr:row>26</xdr:row>
      <xdr:rowOff>20955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E2C62EB2-9085-A34E-DBBF-FFDF4381A08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897100" y="2308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83820</xdr:colOff>
      <xdr:row>8</xdr:row>
      <xdr:rowOff>99061</xdr:rowOff>
    </xdr:from>
    <xdr:to>
      <xdr:col>21</xdr:col>
      <xdr:colOff>83820</xdr:colOff>
      <xdr:row>14</xdr:row>
      <xdr:rowOff>114301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5DD88345-124F-8838-7B2B-0FBE88633D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61620" y="156210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1</xdr:row>
      <xdr:rowOff>60961</xdr:rowOff>
    </xdr:from>
    <xdr:to>
      <xdr:col>21</xdr:col>
      <xdr:colOff>76200</xdr:colOff>
      <xdr:row>7</xdr:row>
      <xdr:rowOff>83821</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0A218583-D575-2920-8BF1-FC5CFD3B9EC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954000" y="243841"/>
              <a:ext cx="182880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327660</xdr:colOff>
      <xdr:row>1</xdr:row>
      <xdr:rowOff>15241</xdr:rowOff>
    </xdr:from>
    <xdr:to>
      <xdr:col>24</xdr:col>
      <xdr:colOff>327660</xdr:colOff>
      <xdr:row>11</xdr:row>
      <xdr:rowOff>76201</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55D310E9-B8D9-347A-7616-DE7C1CE707B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034260" y="198121"/>
              <a:ext cx="18288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58302</xdr:colOff>
      <xdr:row>0</xdr:row>
      <xdr:rowOff>0</xdr:rowOff>
    </xdr:from>
    <xdr:to>
      <xdr:col>24</xdr:col>
      <xdr:colOff>58302</xdr:colOff>
      <xdr:row>40</xdr:row>
      <xdr:rowOff>152400</xdr:rowOff>
    </xdr:to>
    <xdr:sp macro="" textlink="Pivot_Analysis!C7">
      <xdr:nvSpPr>
        <xdr:cNvPr id="2" name="Rectangle 1">
          <a:extLst>
            <a:ext uri="{FF2B5EF4-FFF2-40B4-BE49-F238E27FC236}">
              <a16:creationId xmlns:a16="http://schemas.microsoft.com/office/drawing/2014/main" id="{9A60FA90-301D-C5DD-CCC2-1E78AA931D7F}"/>
            </a:ext>
          </a:extLst>
        </xdr:cNvPr>
        <xdr:cNvSpPr/>
      </xdr:nvSpPr>
      <xdr:spPr>
        <a:xfrm>
          <a:off x="58302" y="0"/>
          <a:ext cx="14630400" cy="7324165"/>
        </a:xfrm>
        <a:prstGeom prst="rect">
          <a:avLst/>
        </a:prstGeom>
        <a:solidFill>
          <a:srgbClr val="E1CB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A5BD15A-2E99-40C3-8648-51DD88DF72A6}" type="TxLink">
            <a:rPr lang="en-US" sz="1100" b="0" i="0" u="none" strike="noStrike">
              <a:solidFill>
                <a:srgbClr val="000000"/>
              </a:solidFill>
              <a:latin typeface="Calibri"/>
              <a:ea typeface="Calibri"/>
              <a:cs typeface="Calibri"/>
            </a:rPr>
            <a:pPr algn="l"/>
            <a:t>200</a:t>
          </a:fld>
          <a:endParaRPr lang="en-IN" sz="1100"/>
        </a:p>
      </xdr:txBody>
    </xdr:sp>
    <xdr:clientData/>
  </xdr:twoCellAnchor>
  <xdr:twoCellAnchor>
    <xdr:from>
      <xdr:col>0</xdr:col>
      <xdr:colOff>0</xdr:colOff>
      <xdr:row>0</xdr:row>
      <xdr:rowOff>0</xdr:rowOff>
    </xdr:from>
    <xdr:to>
      <xdr:col>24</xdr:col>
      <xdr:colOff>8964</xdr:colOff>
      <xdr:row>3</xdr:row>
      <xdr:rowOff>45720</xdr:rowOff>
    </xdr:to>
    <xdr:sp macro="" textlink="">
      <xdr:nvSpPr>
        <xdr:cNvPr id="3" name="Rectangle: Rounded Corners 2">
          <a:extLst>
            <a:ext uri="{FF2B5EF4-FFF2-40B4-BE49-F238E27FC236}">
              <a16:creationId xmlns:a16="http://schemas.microsoft.com/office/drawing/2014/main" id="{B4BDA38C-19F3-2251-54EF-D239F0E01A9C}"/>
            </a:ext>
          </a:extLst>
        </xdr:cNvPr>
        <xdr:cNvSpPr/>
      </xdr:nvSpPr>
      <xdr:spPr>
        <a:xfrm>
          <a:off x="0" y="0"/>
          <a:ext cx="14639364" cy="583602"/>
        </a:xfrm>
        <a:prstGeom prst="roundRect">
          <a:avLst/>
        </a:prstGeom>
        <a:solidFill>
          <a:srgbClr val="5B2C6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129540</xdr:colOff>
      <xdr:row>0</xdr:row>
      <xdr:rowOff>0</xdr:rowOff>
    </xdr:from>
    <xdr:to>
      <xdr:col>18</xdr:col>
      <xdr:colOff>373380</xdr:colOff>
      <xdr:row>3</xdr:row>
      <xdr:rowOff>0</xdr:rowOff>
    </xdr:to>
    <xdr:sp macro="" textlink="">
      <xdr:nvSpPr>
        <xdr:cNvPr id="1025" name="Text Box 1">
          <a:extLst>
            <a:ext uri="{FF2B5EF4-FFF2-40B4-BE49-F238E27FC236}">
              <a16:creationId xmlns:a16="http://schemas.microsoft.com/office/drawing/2014/main" id="{072D7BE1-27B7-B25B-5681-6013C1030BA9}"/>
            </a:ext>
          </a:extLst>
        </xdr:cNvPr>
        <xdr:cNvSpPr txBox="1">
          <a:spLocks noChangeArrowheads="1"/>
        </xdr:cNvSpPr>
      </xdr:nvSpPr>
      <xdr:spPr bwMode="auto">
        <a:xfrm>
          <a:off x="2567940" y="0"/>
          <a:ext cx="8778240" cy="548640"/>
        </a:xfrm>
        <a:prstGeom prst="rect">
          <a:avLst/>
        </a:prstGeom>
        <a:noFill/>
        <a:ln w="9525">
          <a:noFill/>
          <a:miter lim="800000"/>
          <a:headEnd/>
          <a:tailEnd/>
        </a:ln>
      </xdr:spPr>
      <xdr:txBody>
        <a:bodyPr vertOverflow="clip" wrap="square" lIns="36576" tIns="32004" rIns="0" bIns="0" anchor="ctr" upright="1"/>
        <a:lstStyle/>
        <a:p>
          <a:pPr algn="ctr" rtl="0">
            <a:defRPr sz="1000"/>
          </a:pPr>
          <a:r>
            <a:rPr lang="en-IN" sz="2800" b="0" i="0" u="none" strike="noStrike" baseline="0">
              <a:solidFill>
                <a:schemeClr val="accent4">
                  <a:lumMod val="20000"/>
                  <a:lumOff val="80000"/>
                </a:schemeClr>
              </a:solidFill>
              <a:latin typeface="Segoe UI Semibold" panose="020B0702040204020203" pitchFamily="34" charset="0"/>
              <a:ea typeface="Calibri"/>
              <a:cs typeface="Segoe UI Semibold" panose="020B0702040204020203" pitchFamily="34" charset="0"/>
            </a:rPr>
            <a:t>Sales Performance Dashboard</a:t>
          </a:r>
        </a:p>
      </xdr:txBody>
    </xdr:sp>
    <xdr:clientData/>
  </xdr:twoCellAnchor>
  <xdr:twoCellAnchor>
    <xdr:from>
      <xdr:col>0</xdr:col>
      <xdr:colOff>22860</xdr:colOff>
      <xdr:row>3</xdr:row>
      <xdr:rowOff>83820</xdr:rowOff>
    </xdr:from>
    <xdr:to>
      <xdr:col>3</xdr:col>
      <xdr:colOff>388620</xdr:colOff>
      <xdr:row>9</xdr:row>
      <xdr:rowOff>129540</xdr:rowOff>
    </xdr:to>
    <xdr:sp macro="" textlink="">
      <xdr:nvSpPr>
        <xdr:cNvPr id="4" name="Rectangle: Rounded Corners 3">
          <a:extLst>
            <a:ext uri="{FF2B5EF4-FFF2-40B4-BE49-F238E27FC236}">
              <a16:creationId xmlns:a16="http://schemas.microsoft.com/office/drawing/2014/main" id="{C3F78F21-74E0-553E-96C4-30ED02DF8659}"/>
            </a:ext>
          </a:extLst>
        </xdr:cNvPr>
        <xdr:cNvSpPr/>
      </xdr:nvSpPr>
      <xdr:spPr>
        <a:xfrm>
          <a:off x="22860" y="632460"/>
          <a:ext cx="2194560" cy="1143000"/>
        </a:xfrm>
        <a:prstGeom prst="roundRect">
          <a:avLst>
            <a:gd name="adj" fmla="val 1074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0" i="0" baseline="0">
              <a:solidFill>
                <a:srgbClr val="002060"/>
              </a:solidFill>
              <a:effectLst/>
              <a:latin typeface="Segoe UI Semibold" panose="020B0702040204020203" pitchFamily="34" charset="0"/>
              <a:ea typeface="+mn-ea"/>
              <a:cs typeface="Segoe UI Semibold" panose="020B0702040204020203" pitchFamily="34" charset="0"/>
            </a:rPr>
            <a:t> Total Sales</a:t>
          </a:r>
          <a:endParaRPr lang="en-IN" sz="1400">
            <a:solidFill>
              <a:srgbClr val="002060"/>
            </a:solidFill>
            <a:effectLst/>
            <a:latin typeface="Segoe UI Semibold" panose="020B0702040204020203" pitchFamily="34" charset="0"/>
            <a:cs typeface="Segoe UI Semibold" panose="020B0702040204020203" pitchFamily="34" charset="0"/>
          </a:endParaRPr>
        </a:p>
        <a:p>
          <a:pPr algn="l"/>
          <a:endParaRPr lang="en-IN" sz="1400">
            <a:solidFill>
              <a:srgbClr val="002060"/>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495300</xdr:colOff>
      <xdr:row>3</xdr:row>
      <xdr:rowOff>76200</xdr:rowOff>
    </xdr:from>
    <xdr:to>
      <xdr:col>8</xdr:col>
      <xdr:colOff>251460</xdr:colOff>
      <xdr:row>9</xdr:row>
      <xdr:rowOff>121920</xdr:rowOff>
    </xdr:to>
    <xdr:sp macro="" textlink="">
      <xdr:nvSpPr>
        <xdr:cNvPr id="5" name="Rectangle: Rounded Corners 4">
          <a:extLst>
            <a:ext uri="{FF2B5EF4-FFF2-40B4-BE49-F238E27FC236}">
              <a16:creationId xmlns:a16="http://schemas.microsoft.com/office/drawing/2014/main" id="{8D14A482-981C-48FB-A686-91C07B8DA29F}"/>
            </a:ext>
          </a:extLst>
        </xdr:cNvPr>
        <xdr:cNvSpPr/>
      </xdr:nvSpPr>
      <xdr:spPr>
        <a:xfrm>
          <a:off x="2933700" y="624840"/>
          <a:ext cx="2194560" cy="1143000"/>
        </a:xfrm>
        <a:prstGeom prst="roundRect">
          <a:avLst>
            <a:gd name="adj" fmla="val 1074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002060"/>
              </a:solidFill>
              <a:latin typeface="Segoe UI Semibold" panose="020B0702040204020203" pitchFamily="34" charset="0"/>
              <a:cs typeface="Segoe UI Semibold" panose="020B0702040204020203" pitchFamily="34" charset="0"/>
            </a:rPr>
            <a:t>Total Profit</a:t>
          </a:r>
        </a:p>
      </xdr:txBody>
    </xdr:sp>
    <xdr:clientData/>
  </xdr:twoCellAnchor>
  <xdr:twoCellAnchor>
    <xdr:from>
      <xdr:col>9</xdr:col>
      <xdr:colOff>426720</xdr:colOff>
      <xdr:row>3</xdr:row>
      <xdr:rowOff>91440</xdr:rowOff>
    </xdr:from>
    <xdr:to>
      <xdr:col>13</xdr:col>
      <xdr:colOff>182880</xdr:colOff>
      <xdr:row>9</xdr:row>
      <xdr:rowOff>137160</xdr:rowOff>
    </xdr:to>
    <xdr:sp macro="" textlink="">
      <xdr:nvSpPr>
        <xdr:cNvPr id="6" name="Rectangle: Rounded Corners 5">
          <a:extLst>
            <a:ext uri="{FF2B5EF4-FFF2-40B4-BE49-F238E27FC236}">
              <a16:creationId xmlns:a16="http://schemas.microsoft.com/office/drawing/2014/main" id="{8A56993F-02A1-4BA8-B8D3-731A613774D8}"/>
            </a:ext>
          </a:extLst>
        </xdr:cNvPr>
        <xdr:cNvSpPr/>
      </xdr:nvSpPr>
      <xdr:spPr>
        <a:xfrm>
          <a:off x="5913120" y="640080"/>
          <a:ext cx="2194560" cy="1143000"/>
        </a:xfrm>
        <a:prstGeom prst="roundRect">
          <a:avLst>
            <a:gd name="adj" fmla="val 1074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002060"/>
              </a:solidFill>
              <a:latin typeface="Segoe UI Semibold" panose="020B0702040204020203" pitchFamily="34" charset="0"/>
              <a:cs typeface="Segoe UI Semibold" panose="020B0702040204020203" pitchFamily="34" charset="0"/>
            </a:rPr>
            <a:t>Total Orders</a:t>
          </a:r>
        </a:p>
      </xdr:txBody>
    </xdr:sp>
    <xdr:clientData/>
  </xdr:twoCellAnchor>
  <xdr:twoCellAnchor>
    <xdr:from>
      <xdr:col>14</xdr:col>
      <xdr:colOff>365760</xdr:colOff>
      <xdr:row>3</xdr:row>
      <xdr:rowOff>83820</xdr:rowOff>
    </xdr:from>
    <xdr:to>
      <xdr:col>18</xdr:col>
      <xdr:colOff>121920</xdr:colOff>
      <xdr:row>9</xdr:row>
      <xdr:rowOff>129540</xdr:rowOff>
    </xdr:to>
    <xdr:sp macro="" textlink="">
      <xdr:nvSpPr>
        <xdr:cNvPr id="7" name="Rectangle: Rounded Corners 6">
          <a:extLst>
            <a:ext uri="{FF2B5EF4-FFF2-40B4-BE49-F238E27FC236}">
              <a16:creationId xmlns:a16="http://schemas.microsoft.com/office/drawing/2014/main" id="{E414F8F2-A9B4-48E6-8A96-9BD186C56651}"/>
            </a:ext>
          </a:extLst>
        </xdr:cNvPr>
        <xdr:cNvSpPr/>
      </xdr:nvSpPr>
      <xdr:spPr>
        <a:xfrm>
          <a:off x="8900160" y="632460"/>
          <a:ext cx="2194560" cy="1143000"/>
        </a:xfrm>
        <a:prstGeom prst="roundRect">
          <a:avLst>
            <a:gd name="adj" fmla="val 1074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002060"/>
              </a:solidFill>
              <a:latin typeface="Segoe UI Semibold" panose="020B0702040204020203" pitchFamily="34" charset="0"/>
              <a:cs typeface="Segoe UI Semibold" panose="020B0702040204020203" pitchFamily="34" charset="0"/>
            </a:rPr>
            <a:t>Total Quantity</a:t>
          </a:r>
        </a:p>
      </xdr:txBody>
    </xdr:sp>
    <xdr:clientData/>
  </xdr:twoCellAnchor>
  <xdr:twoCellAnchor>
    <xdr:from>
      <xdr:col>19</xdr:col>
      <xdr:colOff>265355</xdr:colOff>
      <xdr:row>3</xdr:row>
      <xdr:rowOff>90095</xdr:rowOff>
    </xdr:from>
    <xdr:to>
      <xdr:col>23</xdr:col>
      <xdr:colOff>21515</xdr:colOff>
      <xdr:row>9</xdr:row>
      <xdr:rowOff>135815</xdr:rowOff>
    </xdr:to>
    <xdr:sp macro="" textlink="">
      <xdr:nvSpPr>
        <xdr:cNvPr id="8" name="Rectangle: Rounded Corners 7">
          <a:extLst>
            <a:ext uri="{FF2B5EF4-FFF2-40B4-BE49-F238E27FC236}">
              <a16:creationId xmlns:a16="http://schemas.microsoft.com/office/drawing/2014/main" id="{DBD1F6D9-A75F-4F7E-93FB-251E2B49AE23}"/>
            </a:ext>
          </a:extLst>
        </xdr:cNvPr>
        <xdr:cNvSpPr/>
      </xdr:nvSpPr>
      <xdr:spPr>
        <a:xfrm>
          <a:off x="11847755" y="627977"/>
          <a:ext cx="2194560" cy="1121485"/>
        </a:xfrm>
        <a:prstGeom prst="roundRect">
          <a:avLst>
            <a:gd name="adj" fmla="val 1074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002060"/>
              </a:solidFill>
              <a:latin typeface="Segoe UI Semibold" panose="020B0702040204020203" pitchFamily="34" charset="0"/>
              <a:cs typeface="Segoe UI Semibold" panose="020B0702040204020203" pitchFamily="34" charset="0"/>
            </a:rPr>
            <a:t>Average Sales</a:t>
          </a:r>
        </a:p>
      </xdr:txBody>
    </xdr:sp>
    <xdr:clientData/>
  </xdr:twoCellAnchor>
  <xdr:twoCellAnchor editAs="oneCell">
    <xdr:from>
      <xdr:col>2</xdr:col>
      <xdr:colOff>346942</xdr:colOff>
      <xdr:row>2</xdr:row>
      <xdr:rowOff>152400</xdr:rowOff>
    </xdr:from>
    <xdr:to>
      <xdr:col>3</xdr:col>
      <xdr:colOff>568486</xdr:colOff>
      <xdr:row>6</xdr:row>
      <xdr:rowOff>144780</xdr:rowOff>
    </xdr:to>
    <xdr:pic>
      <xdr:nvPicPr>
        <xdr:cNvPr id="15" name="Picture 14">
          <a:extLst>
            <a:ext uri="{FF2B5EF4-FFF2-40B4-BE49-F238E27FC236}">
              <a16:creationId xmlns:a16="http://schemas.microsoft.com/office/drawing/2014/main" id="{A1EA2B0E-6C1D-6B50-B39A-A92AD957A167}"/>
            </a:ext>
          </a:extLst>
        </xdr:cNvPr>
        <xdr:cNvPicPr>
          <a:picLocks noChangeAspect="1"/>
        </xdr:cNvPicPr>
      </xdr:nvPicPr>
      <xdr:blipFill>
        <a:blip xmlns:r="http://schemas.openxmlformats.org/officeDocument/2006/relationships" r:embed="rId1"/>
        <a:stretch>
          <a:fillRect/>
        </a:stretch>
      </xdr:blipFill>
      <xdr:spPr>
        <a:xfrm>
          <a:off x="1566142" y="518160"/>
          <a:ext cx="831144" cy="723900"/>
        </a:xfrm>
        <a:prstGeom prst="rect">
          <a:avLst/>
        </a:prstGeom>
      </xdr:spPr>
    </xdr:pic>
    <xdr:clientData/>
  </xdr:twoCellAnchor>
  <xdr:twoCellAnchor editAs="oneCell">
    <xdr:from>
      <xdr:col>7</xdr:col>
      <xdr:colOff>197928</xdr:colOff>
      <xdr:row>2</xdr:row>
      <xdr:rowOff>99060</xdr:rowOff>
    </xdr:from>
    <xdr:to>
      <xdr:col>8</xdr:col>
      <xdr:colOff>393225</xdr:colOff>
      <xdr:row>6</xdr:row>
      <xdr:rowOff>68580</xdr:rowOff>
    </xdr:to>
    <xdr:pic>
      <xdr:nvPicPr>
        <xdr:cNvPr id="17" name="Picture 16">
          <a:extLst>
            <a:ext uri="{FF2B5EF4-FFF2-40B4-BE49-F238E27FC236}">
              <a16:creationId xmlns:a16="http://schemas.microsoft.com/office/drawing/2014/main" id="{0D8B8465-7361-3B04-A573-46ED1764AB58}"/>
            </a:ext>
          </a:extLst>
        </xdr:cNvPr>
        <xdr:cNvPicPr>
          <a:picLocks noChangeAspect="1"/>
        </xdr:cNvPicPr>
      </xdr:nvPicPr>
      <xdr:blipFill>
        <a:blip xmlns:r="http://schemas.openxmlformats.org/officeDocument/2006/relationships" r:embed="rId2"/>
        <a:stretch>
          <a:fillRect/>
        </a:stretch>
      </xdr:blipFill>
      <xdr:spPr>
        <a:xfrm>
          <a:off x="4465128" y="464820"/>
          <a:ext cx="804897" cy="701040"/>
        </a:xfrm>
        <a:prstGeom prst="rect">
          <a:avLst/>
        </a:prstGeom>
      </xdr:spPr>
    </xdr:pic>
    <xdr:clientData/>
  </xdr:twoCellAnchor>
  <xdr:twoCellAnchor editAs="oneCell">
    <xdr:from>
      <xdr:col>12</xdr:col>
      <xdr:colOff>190872</xdr:colOff>
      <xdr:row>3</xdr:row>
      <xdr:rowOff>22860</xdr:rowOff>
    </xdr:from>
    <xdr:to>
      <xdr:col>13</xdr:col>
      <xdr:colOff>263685</xdr:colOff>
      <xdr:row>6</xdr:row>
      <xdr:rowOff>68580</xdr:rowOff>
    </xdr:to>
    <xdr:pic>
      <xdr:nvPicPr>
        <xdr:cNvPr id="18" name="Picture 17">
          <a:extLst>
            <a:ext uri="{FF2B5EF4-FFF2-40B4-BE49-F238E27FC236}">
              <a16:creationId xmlns:a16="http://schemas.microsoft.com/office/drawing/2014/main" id="{EF83022E-DEE9-EEB5-711D-C05D20975F2B}"/>
            </a:ext>
          </a:extLst>
        </xdr:cNvPr>
        <xdr:cNvPicPr>
          <a:picLocks noChangeAspect="1"/>
        </xdr:cNvPicPr>
      </xdr:nvPicPr>
      <xdr:blipFill>
        <a:blip xmlns:r="http://schemas.openxmlformats.org/officeDocument/2006/relationships" r:embed="rId3"/>
        <a:stretch>
          <a:fillRect/>
        </a:stretch>
      </xdr:blipFill>
      <xdr:spPr>
        <a:xfrm>
          <a:off x="7506072" y="571500"/>
          <a:ext cx="682413" cy="594360"/>
        </a:xfrm>
        <a:prstGeom prst="rect">
          <a:avLst/>
        </a:prstGeom>
      </xdr:spPr>
    </xdr:pic>
    <xdr:clientData/>
  </xdr:twoCellAnchor>
  <xdr:twoCellAnchor editAs="oneCell">
    <xdr:from>
      <xdr:col>16</xdr:col>
      <xdr:colOff>541958</xdr:colOff>
      <xdr:row>2</xdr:row>
      <xdr:rowOff>99060</xdr:rowOff>
    </xdr:from>
    <xdr:to>
      <xdr:col>18</xdr:col>
      <xdr:colOff>355126</xdr:colOff>
      <xdr:row>7</xdr:row>
      <xdr:rowOff>83820</xdr:rowOff>
    </xdr:to>
    <xdr:pic>
      <xdr:nvPicPr>
        <xdr:cNvPr id="19" name="Picture 18">
          <a:extLst>
            <a:ext uri="{FF2B5EF4-FFF2-40B4-BE49-F238E27FC236}">
              <a16:creationId xmlns:a16="http://schemas.microsoft.com/office/drawing/2014/main" id="{D121E7A9-1CD1-6192-06C5-EA959957F88F}"/>
            </a:ext>
          </a:extLst>
        </xdr:cNvPr>
        <xdr:cNvPicPr>
          <a:picLocks noChangeAspect="1"/>
        </xdr:cNvPicPr>
      </xdr:nvPicPr>
      <xdr:blipFill>
        <a:blip xmlns:r="http://schemas.openxmlformats.org/officeDocument/2006/relationships" r:embed="rId4"/>
        <a:stretch>
          <a:fillRect/>
        </a:stretch>
      </xdr:blipFill>
      <xdr:spPr>
        <a:xfrm>
          <a:off x="10295558" y="464820"/>
          <a:ext cx="1032368" cy="899160"/>
        </a:xfrm>
        <a:prstGeom prst="rect">
          <a:avLst/>
        </a:prstGeom>
      </xdr:spPr>
    </xdr:pic>
    <xdr:clientData/>
  </xdr:twoCellAnchor>
  <xdr:twoCellAnchor editAs="oneCell">
    <xdr:from>
      <xdr:col>22</xdr:col>
      <xdr:colOff>18434</xdr:colOff>
      <xdr:row>2</xdr:row>
      <xdr:rowOff>167640</xdr:rowOff>
    </xdr:from>
    <xdr:to>
      <xdr:col>23</xdr:col>
      <xdr:colOff>187485</xdr:colOff>
      <xdr:row>6</xdr:row>
      <xdr:rowOff>114300</xdr:rowOff>
    </xdr:to>
    <xdr:pic>
      <xdr:nvPicPr>
        <xdr:cNvPr id="20" name="Picture 19">
          <a:extLst>
            <a:ext uri="{FF2B5EF4-FFF2-40B4-BE49-F238E27FC236}">
              <a16:creationId xmlns:a16="http://schemas.microsoft.com/office/drawing/2014/main" id="{F05489E6-B3A0-CBFE-08EA-010F278F5C90}"/>
            </a:ext>
          </a:extLst>
        </xdr:cNvPr>
        <xdr:cNvPicPr>
          <a:picLocks noChangeAspect="1"/>
        </xdr:cNvPicPr>
      </xdr:nvPicPr>
      <xdr:blipFill>
        <a:blip xmlns:r="http://schemas.openxmlformats.org/officeDocument/2006/relationships" r:embed="rId5"/>
        <a:stretch>
          <a:fillRect/>
        </a:stretch>
      </xdr:blipFill>
      <xdr:spPr>
        <a:xfrm>
          <a:off x="13429634" y="533400"/>
          <a:ext cx="778651" cy="678180"/>
        </a:xfrm>
        <a:prstGeom prst="rect">
          <a:avLst/>
        </a:prstGeom>
      </xdr:spPr>
    </xdr:pic>
    <xdr:clientData/>
  </xdr:twoCellAnchor>
  <xdr:twoCellAnchor>
    <xdr:from>
      <xdr:col>0</xdr:col>
      <xdr:colOff>76200</xdr:colOff>
      <xdr:row>5</xdr:row>
      <xdr:rowOff>175260</xdr:rowOff>
    </xdr:from>
    <xdr:to>
      <xdr:col>3</xdr:col>
      <xdr:colOff>60960</xdr:colOff>
      <xdr:row>8</xdr:row>
      <xdr:rowOff>99060</xdr:rowOff>
    </xdr:to>
    <xdr:sp macro="" textlink="Pivot_Analysis!A7">
      <xdr:nvSpPr>
        <xdr:cNvPr id="22" name="TextBox 21">
          <a:extLst>
            <a:ext uri="{FF2B5EF4-FFF2-40B4-BE49-F238E27FC236}">
              <a16:creationId xmlns:a16="http://schemas.microsoft.com/office/drawing/2014/main" id="{81B3000F-5E19-20E4-9BD8-63C2E03E9FCF}"/>
            </a:ext>
          </a:extLst>
        </xdr:cNvPr>
        <xdr:cNvSpPr txBox="1"/>
      </xdr:nvSpPr>
      <xdr:spPr>
        <a:xfrm>
          <a:off x="76200" y="1089660"/>
          <a:ext cx="18135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18F184-C62E-475B-B009-F5E8FC766F70}" type="TxLink">
            <a:rPr lang="en-US" sz="2800" b="0" i="0" u="none" strike="noStrike">
              <a:solidFill>
                <a:srgbClr val="7030A0"/>
              </a:solidFill>
              <a:latin typeface="Segoe UI Semibold" panose="020B0702040204020203" pitchFamily="34" charset="0"/>
              <a:ea typeface="Calibri"/>
              <a:cs typeface="Segoe UI Semibold" panose="020B0702040204020203" pitchFamily="34" charset="0"/>
            </a:rPr>
            <a:pPr/>
            <a:t>₹ 5.22M</a:t>
          </a:fld>
          <a:endParaRPr lang="en-IN" sz="2800">
            <a:solidFill>
              <a:srgbClr val="7030A0"/>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53340</xdr:colOff>
      <xdr:row>6</xdr:row>
      <xdr:rowOff>30480</xdr:rowOff>
    </xdr:from>
    <xdr:to>
      <xdr:col>7</xdr:col>
      <xdr:colOff>601980</xdr:colOff>
      <xdr:row>8</xdr:row>
      <xdr:rowOff>137160</xdr:rowOff>
    </xdr:to>
    <xdr:sp macro="" textlink="Pivot_Analysis!B7">
      <xdr:nvSpPr>
        <xdr:cNvPr id="23" name="TextBox 22">
          <a:extLst>
            <a:ext uri="{FF2B5EF4-FFF2-40B4-BE49-F238E27FC236}">
              <a16:creationId xmlns:a16="http://schemas.microsoft.com/office/drawing/2014/main" id="{9CF88F62-1689-E8F1-05A6-4CF0F42E7ECC}"/>
            </a:ext>
          </a:extLst>
        </xdr:cNvPr>
        <xdr:cNvSpPr txBox="1"/>
      </xdr:nvSpPr>
      <xdr:spPr>
        <a:xfrm>
          <a:off x="3101340" y="1127760"/>
          <a:ext cx="17678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738EE8-8CFC-4744-8BA3-EFFAC13C82CB}" type="TxLink">
            <a:rPr lang="en-US" sz="2800" b="0" i="0" u="none" strike="noStrike">
              <a:solidFill>
                <a:srgbClr val="7030A0"/>
              </a:solidFill>
              <a:latin typeface="Segoe UI Semibold" panose="020B0702040204020203" pitchFamily="34" charset="0"/>
              <a:ea typeface="Calibri"/>
              <a:cs typeface="Segoe UI Semibold" panose="020B0702040204020203" pitchFamily="34" charset="0"/>
            </a:rPr>
            <a:pPr/>
            <a:t>₹ 774.97K</a:t>
          </a:fld>
          <a:endParaRPr lang="en-IN" sz="2800">
            <a:solidFill>
              <a:srgbClr val="7030A0"/>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152400</xdr:colOff>
      <xdr:row>5</xdr:row>
      <xdr:rowOff>137160</xdr:rowOff>
    </xdr:from>
    <xdr:to>
      <xdr:col>13</xdr:col>
      <xdr:colOff>342900</xdr:colOff>
      <xdr:row>8</xdr:row>
      <xdr:rowOff>99060</xdr:rowOff>
    </xdr:to>
    <xdr:sp macro="" textlink="Pivot_Analysis!C7">
      <xdr:nvSpPr>
        <xdr:cNvPr id="24" name="TextBox 23">
          <a:extLst>
            <a:ext uri="{FF2B5EF4-FFF2-40B4-BE49-F238E27FC236}">
              <a16:creationId xmlns:a16="http://schemas.microsoft.com/office/drawing/2014/main" id="{9A328C88-E250-0BC1-D873-8979FE12005A}"/>
            </a:ext>
          </a:extLst>
        </xdr:cNvPr>
        <xdr:cNvSpPr txBox="1"/>
      </xdr:nvSpPr>
      <xdr:spPr>
        <a:xfrm>
          <a:off x="6248400" y="1051560"/>
          <a:ext cx="201930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574127-5194-414F-A4B2-F7C3EB9BAD61}" type="TxLink">
            <a:rPr lang="en-US" sz="2800" b="0" i="0" u="none" strike="noStrike">
              <a:solidFill>
                <a:srgbClr val="7030A0"/>
              </a:solidFill>
              <a:latin typeface="Segoe UI Semibold" panose="020B0702040204020203" pitchFamily="34" charset="0"/>
              <a:ea typeface="Calibri"/>
              <a:cs typeface="Segoe UI Semibold" panose="020B0702040204020203" pitchFamily="34" charset="0"/>
            </a:rPr>
            <a:pPr/>
            <a:t>200</a:t>
          </a:fld>
          <a:endParaRPr lang="en-IN" sz="2800">
            <a:solidFill>
              <a:srgbClr val="7030A0"/>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449580</xdr:colOff>
      <xdr:row>5</xdr:row>
      <xdr:rowOff>106680</xdr:rowOff>
    </xdr:from>
    <xdr:to>
      <xdr:col>18</xdr:col>
      <xdr:colOff>129540</xdr:colOff>
      <xdr:row>8</xdr:row>
      <xdr:rowOff>129540</xdr:rowOff>
    </xdr:to>
    <xdr:sp macro="" textlink="Pivot_Analysis!D7">
      <xdr:nvSpPr>
        <xdr:cNvPr id="25" name="TextBox 24">
          <a:extLst>
            <a:ext uri="{FF2B5EF4-FFF2-40B4-BE49-F238E27FC236}">
              <a16:creationId xmlns:a16="http://schemas.microsoft.com/office/drawing/2014/main" id="{EB70F916-5176-7418-E7DD-152192182F30}"/>
            </a:ext>
          </a:extLst>
        </xdr:cNvPr>
        <xdr:cNvSpPr txBox="1"/>
      </xdr:nvSpPr>
      <xdr:spPr>
        <a:xfrm>
          <a:off x="8983980" y="1021080"/>
          <a:ext cx="21183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DD322F-48C9-4680-84C6-5A6D9EA69258}" type="TxLink">
            <a:rPr lang="en-US" sz="2800" b="0" i="0" u="none" strike="noStrike">
              <a:solidFill>
                <a:srgbClr val="7030A0"/>
              </a:solidFill>
              <a:latin typeface="Segoe UI Semibold" panose="020B0702040204020203" pitchFamily="34" charset="0"/>
              <a:ea typeface="Calibri"/>
              <a:cs typeface="Segoe UI Semibold" panose="020B0702040204020203" pitchFamily="34" charset="0"/>
            </a:rPr>
            <a:pPr/>
            <a:t>1040</a:t>
          </a:fld>
          <a:endParaRPr lang="en-IN" sz="2800">
            <a:solidFill>
              <a:srgbClr val="7030A0"/>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380104</xdr:colOff>
      <xdr:row>5</xdr:row>
      <xdr:rowOff>112955</xdr:rowOff>
    </xdr:from>
    <xdr:to>
      <xdr:col>22</xdr:col>
      <xdr:colOff>524884</xdr:colOff>
      <xdr:row>8</xdr:row>
      <xdr:rowOff>74855</xdr:rowOff>
    </xdr:to>
    <xdr:sp macro="" textlink="Pivot_Analysis!E7">
      <xdr:nvSpPr>
        <xdr:cNvPr id="26" name="TextBox 25">
          <a:extLst>
            <a:ext uri="{FF2B5EF4-FFF2-40B4-BE49-F238E27FC236}">
              <a16:creationId xmlns:a16="http://schemas.microsoft.com/office/drawing/2014/main" id="{35097E81-499C-E2F6-D32C-476D2F73BF5A}"/>
            </a:ext>
          </a:extLst>
        </xdr:cNvPr>
        <xdr:cNvSpPr txBox="1"/>
      </xdr:nvSpPr>
      <xdr:spPr>
        <a:xfrm>
          <a:off x="11962504" y="1009426"/>
          <a:ext cx="1973580" cy="499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29B6CC-3D4B-49F7-98D5-59CB26535279}" type="TxLink">
            <a:rPr lang="en-US" sz="2800" b="0" i="0" u="none" strike="noStrike">
              <a:solidFill>
                <a:srgbClr val="7030A0"/>
              </a:solidFill>
              <a:latin typeface="Segoe UI Semibold" panose="020B0702040204020203" pitchFamily="34" charset="0"/>
              <a:ea typeface="Calibri"/>
              <a:cs typeface="Segoe UI Semibold" panose="020B0702040204020203" pitchFamily="34" charset="0"/>
            </a:rPr>
            <a:pPr/>
            <a:t>26.09K</a:t>
          </a:fld>
          <a:endParaRPr lang="en-IN" sz="2800">
            <a:solidFill>
              <a:srgbClr val="7030A0"/>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91440</xdr:colOff>
      <xdr:row>10</xdr:row>
      <xdr:rowOff>22860</xdr:rowOff>
    </xdr:from>
    <xdr:to>
      <xdr:col>5</xdr:col>
      <xdr:colOff>510540</xdr:colOff>
      <xdr:row>24</xdr:row>
      <xdr:rowOff>137160</xdr:rowOff>
    </xdr:to>
    <xdr:sp macro="" textlink="">
      <xdr:nvSpPr>
        <xdr:cNvPr id="28" name="Rectangle: Rounded Corners 27">
          <a:extLst>
            <a:ext uri="{FF2B5EF4-FFF2-40B4-BE49-F238E27FC236}">
              <a16:creationId xmlns:a16="http://schemas.microsoft.com/office/drawing/2014/main" id="{7A9B07FA-CB89-49D9-A964-A0BEAAA4092D}"/>
            </a:ext>
          </a:extLst>
        </xdr:cNvPr>
        <xdr:cNvSpPr/>
      </xdr:nvSpPr>
      <xdr:spPr>
        <a:xfrm>
          <a:off x="91440" y="1851660"/>
          <a:ext cx="3467100" cy="2674620"/>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002060"/>
              </a:solidFill>
              <a:latin typeface="Segoe UI Semibold" panose="020B0702040204020203" pitchFamily="34" charset="0"/>
              <a:cs typeface="Segoe UI Semibold" panose="020B0702040204020203" pitchFamily="34" charset="0"/>
            </a:rPr>
            <a:t>Monthly Sales Trend </a:t>
          </a:r>
        </a:p>
      </xdr:txBody>
    </xdr:sp>
    <xdr:clientData/>
  </xdr:twoCellAnchor>
  <xdr:twoCellAnchor>
    <xdr:from>
      <xdr:col>0</xdr:col>
      <xdr:colOff>106680</xdr:colOff>
      <xdr:row>11</xdr:row>
      <xdr:rowOff>137160</xdr:rowOff>
    </xdr:from>
    <xdr:to>
      <xdr:col>5</xdr:col>
      <xdr:colOff>495300</xdr:colOff>
      <xdr:row>24</xdr:row>
      <xdr:rowOff>106680</xdr:rowOff>
    </xdr:to>
    <xdr:graphicFrame macro="">
      <xdr:nvGraphicFramePr>
        <xdr:cNvPr id="29" name="Chart 28">
          <a:extLst>
            <a:ext uri="{FF2B5EF4-FFF2-40B4-BE49-F238E27FC236}">
              <a16:creationId xmlns:a16="http://schemas.microsoft.com/office/drawing/2014/main" id="{B4FD11EE-8390-460C-B570-21E8EED35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601980</xdr:colOff>
      <xdr:row>10</xdr:row>
      <xdr:rowOff>30480</xdr:rowOff>
    </xdr:from>
    <xdr:to>
      <xdr:col>11</xdr:col>
      <xdr:colOff>411480</xdr:colOff>
      <xdr:row>24</xdr:row>
      <xdr:rowOff>144780</xdr:rowOff>
    </xdr:to>
    <xdr:sp macro="" textlink="">
      <xdr:nvSpPr>
        <xdr:cNvPr id="30" name="Rectangle: Rounded Corners 29">
          <a:extLst>
            <a:ext uri="{FF2B5EF4-FFF2-40B4-BE49-F238E27FC236}">
              <a16:creationId xmlns:a16="http://schemas.microsoft.com/office/drawing/2014/main" id="{43D1225C-A1D7-4D46-851C-18AD39A6390F}"/>
            </a:ext>
          </a:extLst>
        </xdr:cNvPr>
        <xdr:cNvSpPr/>
      </xdr:nvSpPr>
      <xdr:spPr>
        <a:xfrm>
          <a:off x="3649980" y="1859280"/>
          <a:ext cx="3467100" cy="2674620"/>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002060"/>
              </a:solidFill>
              <a:latin typeface="Segoe UI Semibold" panose="020B0702040204020203" pitchFamily="34" charset="0"/>
              <a:cs typeface="Segoe UI Semibold" panose="020B0702040204020203" pitchFamily="34" charset="0"/>
            </a:rPr>
            <a:t>Sales by Category</a:t>
          </a:r>
        </a:p>
      </xdr:txBody>
    </xdr:sp>
    <xdr:clientData/>
  </xdr:twoCellAnchor>
  <xdr:twoCellAnchor>
    <xdr:from>
      <xdr:col>6</xdr:col>
      <xdr:colOff>7620</xdr:colOff>
      <xdr:row>11</xdr:row>
      <xdr:rowOff>129540</xdr:rowOff>
    </xdr:from>
    <xdr:to>
      <xdr:col>11</xdr:col>
      <xdr:colOff>411480</xdr:colOff>
      <xdr:row>24</xdr:row>
      <xdr:rowOff>121920</xdr:rowOff>
    </xdr:to>
    <xdr:graphicFrame macro="">
      <xdr:nvGraphicFramePr>
        <xdr:cNvPr id="31" name="Chart 30">
          <a:extLst>
            <a:ext uri="{FF2B5EF4-FFF2-40B4-BE49-F238E27FC236}">
              <a16:creationId xmlns:a16="http://schemas.microsoft.com/office/drawing/2014/main" id="{894044C5-DAE5-4559-9D96-BF6551172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495300</xdr:colOff>
      <xdr:row>10</xdr:row>
      <xdr:rowOff>38100</xdr:rowOff>
    </xdr:from>
    <xdr:to>
      <xdr:col>17</xdr:col>
      <xdr:colOff>304800</xdr:colOff>
      <xdr:row>24</xdr:row>
      <xdr:rowOff>152400</xdr:rowOff>
    </xdr:to>
    <xdr:sp macro="" textlink="">
      <xdr:nvSpPr>
        <xdr:cNvPr id="32" name="Rectangle: Rounded Corners 31">
          <a:extLst>
            <a:ext uri="{FF2B5EF4-FFF2-40B4-BE49-F238E27FC236}">
              <a16:creationId xmlns:a16="http://schemas.microsoft.com/office/drawing/2014/main" id="{4C8D9C5B-A8B4-420E-8A05-A88C32912EB5}"/>
            </a:ext>
          </a:extLst>
        </xdr:cNvPr>
        <xdr:cNvSpPr/>
      </xdr:nvSpPr>
      <xdr:spPr>
        <a:xfrm>
          <a:off x="7200900" y="1866900"/>
          <a:ext cx="3467100" cy="2674620"/>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002060"/>
              </a:solidFill>
              <a:latin typeface="Segoe UI Semibold" panose="020B0702040204020203" pitchFamily="34" charset="0"/>
              <a:cs typeface="Segoe UI Semibold" panose="020B0702040204020203" pitchFamily="34" charset="0"/>
            </a:rPr>
            <a:t>Sales by Segment </a:t>
          </a:r>
        </a:p>
      </xdr:txBody>
    </xdr:sp>
    <xdr:clientData/>
  </xdr:twoCellAnchor>
  <xdr:twoCellAnchor>
    <xdr:from>
      <xdr:col>11</xdr:col>
      <xdr:colOff>518160</xdr:colOff>
      <xdr:row>11</xdr:row>
      <xdr:rowOff>144780</xdr:rowOff>
    </xdr:from>
    <xdr:to>
      <xdr:col>17</xdr:col>
      <xdr:colOff>289560</xdr:colOff>
      <xdr:row>24</xdr:row>
      <xdr:rowOff>114300</xdr:rowOff>
    </xdr:to>
    <xdr:graphicFrame macro="">
      <xdr:nvGraphicFramePr>
        <xdr:cNvPr id="33" name="Chart 32">
          <a:extLst>
            <a:ext uri="{FF2B5EF4-FFF2-40B4-BE49-F238E27FC236}">
              <a16:creationId xmlns:a16="http://schemas.microsoft.com/office/drawing/2014/main" id="{BD7308C7-B9E8-499E-96B8-24B4699D7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94074</xdr:colOff>
      <xdr:row>25</xdr:row>
      <xdr:rowOff>56913</xdr:rowOff>
    </xdr:from>
    <xdr:to>
      <xdr:col>5</xdr:col>
      <xdr:colOff>515056</xdr:colOff>
      <xdr:row>39</xdr:row>
      <xdr:rowOff>171214</xdr:rowOff>
    </xdr:to>
    <xdr:sp macro="" textlink="">
      <xdr:nvSpPr>
        <xdr:cNvPr id="34" name="Rectangle: Rounded Corners 33">
          <a:extLst>
            <a:ext uri="{FF2B5EF4-FFF2-40B4-BE49-F238E27FC236}">
              <a16:creationId xmlns:a16="http://schemas.microsoft.com/office/drawing/2014/main" id="{98D9B047-3502-4E5C-A1E0-9D8F86EA31CB}"/>
            </a:ext>
          </a:extLst>
        </xdr:cNvPr>
        <xdr:cNvSpPr/>
      </xdr:nvSpPr>
      <xdr:spPr>
        <a:xfrm>
          <a:off x="94074" y="4525432"/>
          <a:ext cx="3478389" cy="2616671"/>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002060"/>
              </a:solidFill>
              <a:latin typeface="Segoe UI Semibold" panose="020B0702040204020203" pitchFamily="34" charset="0"/>
              <a:cs typeface="Segoe UI Semibold" panose="020B0702040204020203" pitchFamily="34" charset="0"/>
            </a:rPr>
            <a:t>Top 5 Cities by Sales</a:t>
          </a:r>
        </a:p>
      </xdr:txBody>
    </xdr:sp>
    <xdr:clientData/>
  </xdr:twoCellAnchor>
  <xdr:twoCellAnchor>
    <xdr:from>
      <xdr:col>0</xdr:col>
      <xdr:colOff>121637</xdr:colOff>
      <xdr:row>27</xdr:row>
      <xdr:rowOff>11289</xdr:rowOff>
    </xdr:from>
    <xdr:to>
      <xdr:col>5</xdr:col>
      <xdr:colOff>512139</xdr:colOff>
      <xdr:row>39</xdr:row>
      <xdr:rowOff>136690</xdr:rowOff>
    </xdr:to>
    <xdr:graphicFrame macro="">
      <xdr:nvGraphicFramePr>
        <xdr:cNvPr id="35" name="Chart 34">
          <a:extLst>
            <a:ext uri="{FF2B5EF4-FFF2-40B4-BE49-F238E27FC236}">
              <a16:creationId xmlns:a16="http://schemas.microsoft.com/office/drawing/2014/main" id="{77337B14-14B1-49A8-B301-48068087A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528671</xdr:colOff>
      <xdr:row>10</xdr:row>
      <xdr:rowOff>7550</xdr:rowOff>
    </xdr:from>
    <xdr:to>
      <xdr:col>23</xdr:col>
      <xdr:colOff>277906</xdr:colOff>
      <xdr:row>40</xdr:row>
      <xdr:rowOff>26893</xdr:rowOff>
    </xdr:to>
    <xdr:sp macro="" textlink="">
      <xdr:nvSpPr>
        <xdr:cNvPr id="39" name="Rectangle: Rounded Corners 38">
          <a:extLst>
            <a:ext uri="{FF2B5EF4-FFF2-40B4-BE49-F238E27FC236}">
              <a16:creationId xmlns:a16="http://schemas.microsoft.com/office/drawing/2014/main" id="{C093782D-7C67-46CC-BCD5-28A5BF436765}"/>
            </a:ext>
          </a:extLst>
        </xdr:cNvPr>
        <xdr:cNvSpPr/>
      </xdr:nvSpPr>
      <xdr:spPr>
        <a:xfrm>
          <a:off x="10891871" y="1800491"/>
          <a:ext cx="3406835" cy="5398167"/>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2060"/>
              </a:solidFill>
              <a:latin typeface="Segoe UI Semibold" panose="020B0702040204020203" pitchFamily="34" charset="0"/>
              <a:cs typeface="Segoe UI Semibold" panose="020B0702040204020203" pitchFamily="34" charset="0"/>
            </a:rPr>
            <a:t>Sales by State</a:t>
          </a:r>
          <a:r>
            <a:rPr lang="en-IN" sz="1400">
              <a:solidFill>
                <a:srgbClr val="002060"/>
              </a:solidFill>
              <a:latin typeface="Segoe UI Semibold" panose="020B0702040204020203" pitchFamily="34" charset="0"/>
              <a:cs typeface="Segoe UI Semibold" panose="020B0702040204020203" pitchFamily="34" charset="0"/>
            </a:rPr>
            <a:t> </a:t>
          </a:r>
        </a:p>
      </xdr:txBody>
    </xdr:sp>
    <xdr:clientData/>
  </xdr:twoCellAnchor>
  <xdr:twoCellAnchor>
    <xdr:from>
      <xdr:col>17</xdr:col>
      <xdr:colOff>527287</xdr:colOff>
      <xdr:row>11</xdr:row>
      <xdr:rowOff>125505</xdr:rowOff>
    </xdr:from>
    <xdr:to>
      <xdr:col>23</xdr:col>
      <xdr:colOff>259977</xdr:colOff>
      <xdr:row>40</xdr:row>
      <xdr:rowOff>30078</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4CD35DFE-FB41-451A-ADBE-795B6B442E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890487" y="2137185"/>
              <a:ext cx="3390290" cy="52080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50131</xdr:colOff>
      <xdr:row>25</xdr:row>
      <xdr:rowOff>60159</xdr:rowOff>
    </xdr:from>
    <xdr:to>
      <xdr:col>17</xdr:col>
      <xdr:colOff>360948</xdr:colOff>
      <xdr:row>40</xdr:row>
      <xdr:rowOff>10028</xdr:rowOff>
    </xdr:to>
    <xdr:sp macro="" textlink="">
      <xdr:nvSpPr>
        <xdr:cNvPr id="40" name="Rectangle 39">
          <a:extLst>
            <a:ext uri="{FF2B5EF4-FFF2-40B4-BE49-F238E27FC236}">
              <a16:creationId xmlns:a16="http://schemas.microsoft.com/office/drawing/2014/main" id="{7049BAC2-0F2B-8810-DB33-D94F42BFDA9B}"/>
            </a:ext>
          </a:extLst>
        </xdr:cNvPr>
        <xdr:cNvSpPr/>
      </xdr:nvSpPr>
      <xdr:spPr>
        <a:xfrm>
          <a:off x="3719763" y="4572001"/>
          <a:ext cx="7038474" cy="2656974"/>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120314</xdr:colOff>
      <xdr:row>25</xdr:row>
      <xdr:rowOff>90237</xdr:rowOff>
    </xdr:from>
    <xdr:to>
      <xdr:col>9</xdr:col>
      <xdr:colOff>411078</xdr:colOff>
      <xdr:row>39</xdr:row>
      <xdr:rowOff>80712</xdr:rowOff>
    </xdr:to>
    <mc:AlternateContent xmlns:mc="http://schemas.openxmlformats.org/markup-compatibility/2006">
      <mc:Choice xmlns:a14="http://schemas.microsoft.com/office/drawing/2010/main" Requires="a14">
        <xdr:graphicFrame macro="">
          <xdr:nvGraphicFramePr>
            <xdr:cNvPr id="41" name="Month 1">
              <a:extLst>
                <a:ext uri="{FF2B5EF4-FFF2-40B4-BE49-F238E27FC236}">
                  <a16:creationId xmlns:a16="http://schemas.microsoft.com/office/drawing/2014/main" id="{97645CAF-B4B4-4D0B-9556-85880813F00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809998" y="4769184"/>
              <a:ext cx="2135606" cy="2610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30078</xdr:colOff>
      <xdr:row>25</xdr:row>
      <xdr:rowOff>110290</xdr:rowOff>
    </xdr:from>
    <xdr:to>
      <xdr:col>13</xdr:col>
      <xdr:colOff>280737</xdr:colOff>
      <xdr:row>39</xdr:row>
      <xdr:rowOff>60157</xdr:rowOff>
    </xdr:to>
    <mc:AlternateContent xmlns:mc="http://schemas.openxmlformats.org/markup-compatibility/2006" xmlns:a14="http://schemas.microsoft.com/office/drawing/2010/main">
      <mc:Choice Requires="a14">
        <xdr:graphicFrame macro="">
          <xdr:nvGraphicFramePr>
            <xdr:cNvPr id="42" name="State 1">
              <a:extLst>
                <a:ext uri="{FF2B5EF4-FFF2-40B4-BE49-F238E27FC236}">
                  <a16:creationId xmlns:a16="http://schemas.microsoft.com/office/drawing/2014/main" id="{1346E639-E7CF-4A92-8054-08D83D5058D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126078" y="4592643"/>
              <a:ext cx="2079459" cy="2459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531395</xdr:colOff>
      <xdr:row>26</xdr:row>
      <xdr:rowOff>0</xdr:rowOff>
    </xdr:from>
    <xdr:to>
      <xdr:col>17</xdr:col>
      <xdr:colOff>120316</xdr:colOff>
      <xdr:row>32</xdr:row>
      <xdr:rowOff>37298</xdr:rowOff>
    </xdr:to>
    <mc:AlternateContent xmlns:mc="http://schemas.openxmlformats.org/markup-compatibility/2006" xmlns:a14="http://schemas.microsoft.com/office/drawing/2010/main">
      <mc:Choice Requires="a14">
        <xdr:graphicFrame macro="">
          <xdr:nvGraphicFramePr>
            <xdr:cNvPr id="43" name="Segment 1">
              <a:extLst>
                <a:ext uri="{FF2B5EF4-FFF2-40B4-BE49-F238E27FC236}">
                  <a16:creationId xmlns:a16="http://schemas.microsoft.com/office/drawing/2014/main" id="{A96F0D22-8A34-47F7-B914-353537B3AA3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456195" y="4661647"/>
              <a:ext cx="2027321" cy="111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541420</xdr:colOff>
      <xdr:row>32</xdr:row>
      <xdr:rowOff>150395</xdr:rowOff>
    </xdr:from>
    <xdr:to>
      <xdr:col>17</xdr:col>
      <xdr:colOff>130342</xdr:colOff>
      <xdr:row>38</xdr:row>
      <xdr:rowOff>180073</xdr:rowOff>
    </xdr:to>
    <mc:AlternateContent xmlns:mc="http://schemas.openxmlformats.org/markup-compatibility/2006" xmlns:a14="http://schemas.microsoft.com/office/drawing/2010/main">
      <mc:Choice Requires="a14">
        <xdr:graphicFrame macro="">
          <xdr:nvGraphicFramePr>
            <xdr:cNvPr id="44" name="Category 1">
              <a:extLst>
                <a:ext uri="{FF2B5EF4-FFF2-40B4-BE49-F238E27FC236}">
                  <a16:creationId xmlns:a16="http://schemas.microsoft.com/office/drawing/2014/main" id="{EE7F2851-F1AC-4C06-98F4-A1CE540FC06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466220" y="5887807"/>
              <a:ext cx="2027322" cy="1105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refreshedDate="46237.92654479167" createdVersion="8" refreshedVersion="8" minRefreshableVersion="3" recordCount="200" xr:uid="{9A95524B-2E67-48F6-9D50-5DFA5A46BCE5}">
  <cacheSource type="worksheet">
    <worksheetSource name="Table1"/>
  </cacheSource>
  <cacheFields count="12">
    <cacheField name="Order ID" numFmtId="0">
      <sharedItems/>
    </cacheField>
    <cacheField name="Order Date" numFmtId="164">
      <sharedItems containsSemiMixedTypes="0" containsNonDate="0" containsDate="1" containsString="0" minDate="2025-01-01T00:00:00" maxDate="2026-01-01T00:00:00"/>
    </cacheField>
    <cacheField name="Month" numFmtId="164">
      <sharedItems count="12">
        <s v="Jan"/>
        <s v="Feb"/>
        <s v="Mar"/>
        <s v="Apr"/>
        <s v="May"/>
        <s v="Jun"/>
        <s v="Jul"/>
        <s v="Aug"/>
        <s v="Sep"/>
        <s v="Oct"/>
        <s v="Nov"/>
        <s v="Dec"/>
      </sharedItems>
    </cacheField>
    <cacheField name="Customer" numFmtId="0">
      <sharedItems/>
    </cacheField>
    <cacheField name="State" numFmtId="0">
      <sharedItems count="6">
        <s v="Tamil Nadu"/>
        <s v="Maharashtra"/>
        <s v="Telangana"/>
        <s v="Delhi"/>
        <s v="Gujarat"/>
        <s v="Karnataka"/>
      </sharedItems>
    </cacheField>
    <cacheField name="City" numFmtId="0">
      <sharedItems count="11">
        <s v="Coimbatore"/>
        <s v="Mumbai"/>
        <s v="Chennai"/>
        <s v="Hyderabad"/>
        <s v="New Delhi"/>
        <s v="Ahmedabad"/>
        <s v="Mysuru"/>
        <s v="Pune"/>
        <s v="Warangal"/>
        <s v="Surat"/>
        <s v="Bengaluru"/>
      </sharedItems>
    </cacheField>
    <cacheField name="Category" numFmtId="0">
      <sharedItems count="3">
        <s v="Furniture"/>
        <s v="Electronics"/>
        <s v="Office Supplies"/>
      </sharedItems>
    </cacheField>
    <cacheField name="Sub Category" numFmtId="0">
      <sharedItems/>
    </cacheField>
    <cacheField name="Sales" numFmtId="165">
      <sharedItems containsSemiMixedTypes="0" containsString="0" containsNumber="1" minValue="566.21" maxValue="49979.43"/>
    </cacheField>
    <cacheField name="Profit" numFmtId="165">
      <sharedItems containsSemiMixedTypes="0" containsString="0" containsNumber="1" minValue="44.1" maxValue="11590.51"/>
    </cacheField>
    <cacheField name="Quantity" numFmtId="0">
      <sharedItems containsSemiMixedTypes="0" containsString="0" containsNumber="1" containsInteger="1" minValue="1" maxValue="10"/>
    </cacheField>
    <cacheField name="Segment" numFmtId="0">
      <sharedItems count="3">
        <s v="Consumer"/>
        <s v="Corporate"/>
        <s v="Home Office"/>
      </sharedItems>
    </cacheField>
  </cacheFields>
  <extLst>
    <ext xmlns:x14="http://schemas.microsoft.com/office/spreadsheetml/2009/9/main" uri="{725AE2AE-9491-48be-B2B4-4EB974FC3084}">
      <x14:pivotCacheDefinition pivotCacheId="141847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63"/>
    <d v="2025-01-01T00:00:00"/>
    <x v="0"/>
    <s v="Arjun"/>
    <x v="0"/>
    <x v="0"/>
    <x v="0"/>
    <s v="Table"/>
    <n v="10783.38"/>
    <n v="1424.28"/>
    <n v="7"/>
    <x v="0"/>
  </r>
  <r>
    <s v="ORD1175"/>
    <d v="2025-01-03T00:00:00"/>
    <x v="0"/>
    <s v="Karthik"/>
    <x v="0"/>
    <x v="0"/>
    <x v="1"/>
    <s v="Headphones"/>
    <n v="26993.07"/>
    <n v="3794.78"/>
    <n v="2"/>
    <x v="1"/>
  </r>
  <r>
    <s v="ORD1003"/>
    <d v="2025-01-08T00:00:00"/>
    <x v="0"/>
    <s v="Aisha"/>
    <x v="1"/>
    <x v="1"/>
    <x v="2"/>
    <s v="Pen"/>
    <n v="47229.35"/>
    <n v="4894.42"/>
    <n v="7"/>
    <x v="1"/>
  </r>
  <r>
    <s v="ORD1073"/>
    <d v="2025-01-13T00:00:00"/>
    <x v="0"/>
    <s v="Varun"/>
    <x v="0"/>
    <x v="0"/>
    <x v="2"/>
    <s v="Printer Paper"/>
    <n v="49472.03"/>
    <n v="11590.51"/>
    <n v="5"/>
    <x v="1"/>
  </r>
  <r>
    <s v="ORD1112"/>
    <d v="2025-01-20T00:00:00"/>
    <x v="0"/>
    <s v="Riya"/>
    <x v="0"/>
    <x v="2"/>
    <x v="2"/>
    <s v="Pen"/>
    <n v="3928.33"/>
    <n v="775.48"/>
    <n v="3"/>
    <x v="0"/>
  </r>
  <r>
    <s v="ORD1149"/>
    <d v="2025-01-20T00:00:00"/>
    <x v="0"/>
    <s v="Rohan"/>
    <x v="2"/>
    <x v="3"/>
    <x v="0"/>
    <s v="Table"/>
    <n v="22141.13"/>
    <n v="1549.41"/>
    <n v="4"/>
    <x v="1"/>
  </r>
  <r>
    <s v="ORD1116"/>
    <d v="2025-01-21T00:00:00"/>
    <x v="0"/>
    <s v="Sneha"/>
    <x v="3"/>
    <x v="4"/>
    <x v="0"/>
    <s v="Sofa"/>
    <n v="16733.82"/>
    <n v="842.37"/>
    <n v="7"/>
    <x v="0"/>
  </r>
  <r>
    <s v="ORD1051"/>
    <d v="2025-01-26T00:00:00"/>
    <x v="0"/>
    <s v="Aisha"/>
    <x v="3"/>
    <x v="4"/>
    <x v="1"/>
    <s v="Laptop"/>
    <n v="22974.52"/>
    <n v="3373.81"/>
    <n v="5"/>
    <x v="0"/>
  </r>
  <r>
    <s v="ORD1102"/>
    <d v="2025-01-28T00:00:00"/>
    <x v="0"/>
    <s v="Sneha"/>
    <x v="4"/>
    <x v="5"/>
    <x v="1"/>
    <s v="Headphones"/>
    <n v="43742.89"/>
    <n v="7357.51"/>
    <n v="2"/>
    <x v="1"/>
  </r>
  <r>
    <s v="ORD1163"/>
    <d v="2025-01-28T00:00:00"/>
    <x v="0"/>
    <s v="Aisha"/>
    <x v="4"/>
    <x v="5"/>
    <x v="2"/>
    <s v="Printer Paper"/>
    <n v="34720.949999999997"/>
    <n v="6977.51"/>
    <n v="4"/>
    <x v="0"/>
  </r>
  <r>
    <s v="ORD1170"/>
    <d v="2025-01-30T00:00:00"/>
    <x v="0"/>
    <s v="Diya"/>
    <x v="5"/>
    <x v="6"/>
    <x v="1"/>
    <s v="Headphones"/>
    <n v="18613.919999999998"/>
    <n v="3856.96"/>
    <n v="8"/>
    <x v="0"/>
  </r>
  <r>
    <s v="ORD1173"/>
    <d v="2025-01-31T00:00:00"/>
    <x v="0"/>
    <s v="Arjun"/>
    <x v="4"/>
    <x v="5"/>
    <x v="2"/>
    <s v="Printer Paper"/>
    <n v="2536.4899999999998"/>
    <n v="194.13"/>
    <n v="5"/>
    <x v="2"/>
  </r>
  <r>
    <s v="ORD1031"/>
    <d v="2025-02-03T00:00:00"/>
    <x v="1"/>
    <s v="Riya"/>
    <x v="2"/>
    <x v="3"/>
    <x v="1"/>
    <s v="Laptop"/>
    <n v="18390.689999999999"/>
    <n v="1935.12"/>
    <n v="7"/>
    <x v="2"/>
  </r>
  <r>
    <s v="ORD1055"/>
    <d v="2025-02-03T00:00:00"/>
    <x v="1"/>
    <s v="Rohan"/>
    <x v="1"/>
    <x v="1"/>
    <x v="2"/>
    <s v="Notebook"/>
    <n v="15198.26"/>
    <n v="3056.83"/>
    <n v="1"/>
    <x v="1"/>
  </r>
  <r>
    <s v="ORD1002"/>
    <d v="2025-02-04T00:00:00"/>
    <x v="1"/>
    <s v="Sneha"/>
    <x v="0"/>
    <x v="0"/>
    <x v="2"/>
    <s v="Pen"/>
    <n v="32710.29"/>
    <n v="5138.29"/>
    <n v="2"/>
    <x v="0"/>
  </r>
  <r>
    <s v="ORD1028"/>
    <d v="2025-02-04T00:00:00"/>
    <x v="1"/>
    <s v="Sanjana"/>
    <x v="3"/>
    <x v="4"/>
    <x v="2"/>
    <s v="Printer Paper"/>
    <n v="6195.43"/>
    <n v="1030.8"/>
    <n v="10"/>
    <x v="0"/>
  </r>
  <r>
    <s v="ORD1152"/>
    <d v="2025-02-06T00:00:00"/>
    <x v="1"/>
    <s v="Diya"/>
    <x v="1"/>
    <x v="7"/>
    <x v="1"/>
    <s v="Headphones"/>
    <n v="24188.11"/>
    <n v="4810.58"/>
    <n v="2"/>
    <x v="0"/>
  </r>
  <r>
    <s v="ORD1200"/>
    <d v="2025-02-08T00:00:00"/>
    <x v="1"/>
    <s v="Rahul"/>
    <x v="4"/>
    <x v="5"/>
    <x v="1"/>
    <s v="Mobile"/>
    <n v="15826.31"/>
    <n v="2961.72"/>
    <n v="4"/>
    <x v="0"/>
  </r>
  <r>
    <s v="ORD1106"/>
    <d v="2025-02-10T00:00:00"/>
    <x v="1"/>
    <s v="Ananya"/>
    <x v="3"/>
    <x v="4"/>
    <x v="0"/>
    <s v="Chair"/>
    <n v="42499.79"/>
    <n v="3985.15"/>
    <n v="5"/>
    <x v="0"/>
  </r>
  <r>
    <s v="ORD1135"/>
    <d v="2025-02-13T00:00:00"/>
    <x v="1"/>
    <s v="Meera"/>
    <x v="1"/>
    <x v="7"/>
    <x v="0"/>
    <s v="Table"/>
    <n v="25305.72"/>
    <n v="5680.86"/>
    <n v="10"/>
    <x v="0"/>
  </r>
  <r>
    <s v="ORD1129"/>
    <d v="2025-02-17T00:00:00"/>
    <x v="1"/>
    <s v="Riya"/>
    <x v="3"/>
    <x v="4"/>
    <x v="1"/>
    <s v="Headphones"/>
    <n v="43062.01"/>
    <n v="5259.22"/>
    <n v="5"/>
    <x v="1"/>
  </r>
  <r>
    <s v="ORD1009"/>
    <d v="2025-02-18T00:00:00"/>
    <x v="1"/>
    <s v="Rohan"/>
    <x v="4"/>
    <x v="5"/>
    <x v="2"/>
    <s v="Pen"/>
    <n v="23715.82"/>
    <n v="5141.92"/>
    <n v="10"/>
    <x v="0"/>
  </r>
  <r>
    <s v="ORD1125"/>
    <d v="2025-02-19T00:00:00"/>
    <x v="1"/>
    <s v="Aarav"/>
    <x v="5"/>
    <x v="6"/>
    <x v="0"/>
    <s v="Chair"/>
    <n v="41919.9"/>
    <n v="9807.69"/>
    <n v="8"/>
    <x v="0"/>
  </r>
  <r>
    <s v="ORD1097"/>
    <d v="2025-02-23T00:00:00"/>
    <x v="1"/>
    <s v="Diya"/>
    <x v="2"/>
    <x v="8"/>
    <x v="1"/>
    <s v="Mobile"/>
    <n v="43883.86"/>
    <n v="6395.72"/>
    <n v="6"/>
    <x v="2"/>
  </r>
  <r>
    <s v="ORD1014"/>
    <d v="2025-02-26T00:00:00"/>
    <x v="1"/>
    <s v="Aisha"/>
    <x v="5"/>
    <x v="6"/>
    <x v="2"/>
    <s v="Printer Paper"/>
    <n v="19728.990000000002"/>
    <n v="2154.4899999999998"/>
    <n v="10"/>
    <x v="0"/>
  </r>
  <r>
    <s v="ORD1099"/>
    <d v="2025-02-26T00:00:00"/>
    <x v="1"/>
    <s v="Karthik"/>
    <x v="2"/>
    <x v="8"/>
    <x v="0"/>
    <s v="Chair"/>
    <n v="31295.5"/>
    <n v="5224.24"/>
    <n v="1"/>
    <x v="2"/>
  </r>
  <r>
    <s v="ORD1042"/>
    <d v="2025-03-01T00:00:00"/>
    <x v="2"/>
    <s v="Vikram"/>
    <x v="0"/>
    <x v="2"/>
    <x v="2"/>
    <s v="Pen"/>
    <n v="19265.38"/>
    <n v="3395.35"/>
    <n v="9"/>
    <x v="2"/>
  </r>
  <r>
    <s v="ORD1165"/>
    <d v="2025-03-04T00:00:00"/>
    <x v="2"/>
    <s v="Vikram"/>
    <x v="2"/>
    <x v="3"/>
    <x v="2"/>
    <s v="Pen"/>
    <n v="15490.54"/>
    <n v="1957.15"/>
    <n v="3"/>
    <x v="0"/>
  </r>
  <r>
    <s v="ORD1197"/>
    <d v="2025-03-07T00:00:00"/>
    <x v="2"/>
    <s v="Rahul"/>
    <x v="4"/>
    <x v="5"/>
    <x v="0"/>
    <s v="Sofa"/>
    <n v="44770.57"/>
    <n v="6160.98"/>
    <n v="4"/>
    <x v="1"/>
  </r>
  <r>
    <s v="ORD1013"/>
    <d v="2025-03-08T00:00:00"/>
    <x v="2"/>
    <s v="Rahul"/>
    <x v="2"/>
    <x v="8"/>
    <x v="2"/>
    <s v="Pen"/>
    <n v="23715.56"/>
    <n v="4796.16"/>
    <n v="9"/>
    <x v="1"/>
  </r>
  <r>
    <s v="ORD1047"/>
    <d v="2025-03-08T00:00:00"/>
    <x v="2"/>
    <s v="Diya"/>
    <x v="5"/>
    <x v="6"/>
    <x v="1"/>
    <s v="Mobile"/>
    <n v="35469.339999999997"/>
    <n v="3011.11"/>
    <n v="10"/>
    <x v="0"/>
  </r>
  <r>
    <s v="ORD1159"/>
    <d v="2025-03-08T00:00:00"/>
    <x v="2"/>
    <s v="Nikhil"/>
    <x v="2"/>
    <x v="3"/>
    <x v="2"/>
    <s v="Printer Paper"/>
    <n v="25419.03"/>
    <n v="6210.73"/>
    <n v="5"/>
    <x v="1"/>
  </r>
  <r>
    <s v="ORD1174"/>
    <d v="2025-03-08T00:00:00"/>
    <x v="2"/>
    <s v="Pooja"/>
    <x v="1"/>
    <x v="7"/>
    <x v="0"/>
    <s v="Sofa"/>
    <n v="36084.33"/>
    <n v="3374.43"/>
    <n v="6"/>
    <x v="0"/>
  </r>
  <r>
    <s v="ORD1040"/>
    <d v="2025-03-10T00:00:00"/>
    <x v="2"/>
    <s v="Sanjana"/>
    <x v="4"/>
    <x v="9"/>
    <x v="2"/>
    <s v="Printer Paper"/>
    <n v="40644.980000000003"/>
    <n v="6774.99"/>
    <n v="7"/>
    <x v="1"/>
  </r>
  <r>
    <s v="ORD1108"/>
    <d v="2025-03-13T00:00:00"/>
    <x v="2"/>
    <s v="Rahul"/>
    <x v="3"/>
    <x v="4"/>
    <x v="2"/>
    <s v="Printer Paper"/>
    <n v="47371.06"/>
    <n v="6910.21"/>
    <n v="6"/>
    <x v="0"/>
  </r>
  <r>
    <s v="ORD1075"/>
    <d v="2025-03-15T00:00:00"/>
    <x v="2"/>
    <s v="Pooja"/>
    <x v="5"/>
    <x v="10"/>
    <x v="1"/>
    <s v="Headphones"/>
    <n v="22282.13"/>
    <n v="1397.5"/>
    <n v="10"/>
    <x v="1"/>
  </r>
  <r>
    <s v="ORD1180"/>
    <d v="2025-03-18T00:00:00"/>
    <x v="2"/>
    <s v="Aditya"/>
    <x v="5"/>
    <x v="6"/>
    <x v="1"/>
    <s v="Headphones"/>
    <n v="34664.559999999998"/>
    <n v="4125.3500000000004"/>
    <n v="1"/>
    <x v="1"/>
  </r>
  <r>
    <s v="ORD1181"/>
    <d v="2025-03-19T00:00:00"/>
    <x v="2"/>
    <s v="Varun"/>
    <x v="4"/>
    <x v="9"/>
    <x v="1"/>
    <s v="Mobile"/>
    <n v="49233.15"/>
    <n v="7939.03"/>
    <n v="10"/>
    <x v="2"/>
  </r>
  <r>
    <s v="ORD1194"/>
    <d v="2025-03-20T00:00:00"/>
    <x v="2"/>
    <s v="Diya"/>
    <x v="4"/>
    <x v="9"/>
    <x v="1"/>
    <s v="Laptop"/>
    <n v="29442.05"/>
    <n v="4756.88"/>
    <n v="6"/>
    <x v="2"/>
  </r>
  <r>
    <s v="ORD1034"/>
    <d v="2025-03-21T00:00:00"/>
    <x v="2"/>
    <s v="Rohan"/>
    <x v="5"/>
    <x v="10"/>
    <x v="2"/>
    <s v="Pen"/>
    <n v="22903.96"/>
    <n v="2406.2399999999998"/>
    <n v="3"/>
    <x v="1"/>
  </r>
  <r>
    <s v="ORD1049"/>
    <d v="2025-03-26T00:00:00"/>
    <x v="2"/>
    <s v="Aarav"/>
    <x v="1"/>
    <x v="1"/>
    <x v="0"/>
    <s v="Table"/>
    <n v="10405.82"/>
    <n v="1401.93"/>
    <n v="2"/>
    <x v="1"/>
  </r>
  <r>
    <s v="ORD1087"/>
    <d v="2025-03-26T00:00:00"/>
    <x v="2"/>
    <s v="Ananya"/>
    <x v="0"/>
    <x v="0"/>
    <x v="0"/>
    <s v="Sofa"/>
    <n v="18515.849999999999"/>
    <n v="4155.33"/>
    <n v="2"/>
    <x v="0"/>
  </r>
  <r>
    <s v="ORD1026"/>
    <d v="2025-04-05T00:00:00"/>
    <x v="3"/>
    <s v="Priya"/>
    <x v="2"/>
    <x v="8"/>
    <x v="0"/>
    <s v="Table"/>
    <n v="14915.33"/>
    <n v="976.67"/>
    <n v="4"/>
    <x v="0"/>
  </r>
  <r>
    <s v="ORD1110"/>
    <d v="2025-04-05T00:00:00"/>
    <x v="3"/>
    <s v="Sneha"/>
    <x v="1"/>
    <x v="7"/>
    <x v="1"/>
    <s v="Mobile"/>
    <n v="28269.59"/>
    <n v="1624.17"/>
    <n v="3"/>
    <x v="2"/>
  </r>
  <r>
    <s v="ORD1082"/>
    <d v="2025-04-06T00:00:00"/>
    <x v="3"/>
    <s v="Rohan"/>
    <x v="4"/>
    <x v="9"/>
    <x v="2"/>
    <s v="Notebook"/>
    <n v="40664.300000000003"/>
    <n v="6201.38"/>
    <n v="8"/>
    <x v="1"/>
  </r>
  <r>
    <s v="ORD1004"/>
    <d v="2025-04-07T00:00:00"/>
    <x v="3"/>
    <s v="Riya"/>
    <x v="5"/>
    <x v="10"/>
    <x v="0"/>
    <s v="Table"/>
    <n v="45921.29"/>
    <n v="8058.41"/>
    <n v="10"/>
    <x v="2"/>
  </r>
  <r>
    <s v="ORD1178"/>
    <d v="2025-04-07T00:00:00"/>
    <x v="3"/>
    <s v="Ananya"/>
    <x v="0"/>
    <x v="2"/>
    <x v="0"/>
    <s v="Sofa"/>
    <n v="23320.959999999999"/>
    <n v="1320.87"/>
    <n v="2"/>
    <x v="1"/>
  </r>
  <r>
    <s v="ORD1011"/>
    <d v="2025-04-08T00:00:00"/>
    <x v="3"/>
    <s v="Varun"/>
    <x v="0"/>
    <x v="0"/>
    <x v="1"/>
    <s v="Headphones"/>
    <n v="14632.83"/>
    <n v="764.93"/>
    <n v="1"/>
    <x v="1"/>
  </r>
  <r>
    <s v="ORD1058"/>
    <d v="2025-04-08T00:00:00"/>
    <x v="3"/>
    <s v="Ananya"/>
    <x v="2"/>
    <x v="3"/>
    <x v="1"/>
    <s v="Laptop"/>
    <n v="26933.65"/>
    <n v="4637.18"/>
    <n v="9"/>
    <x v="0"/>
  </r>
  <r>
    <s v="ORD1161"/>
    <d v="2025-04-08T00:00:00"/>
    <x v="3"/>
    <s v="Arjun"/>
    <x v="1"/>
    <x v="1"/>
    <x v="2"/>
    <s v="Notebook"/>
    <n v="24160.03"/>
    <n v="2733.08"/>
    <n v="2"/>
    <x v="2"/>
  </r>
  <r>
    <s v="ORD1071"/>
    <d v="2025-04-09T00:00:00"/>
    <x v="3"/>
    <s v="Neha"/>
    <x v="5"/>
    <x v="10"/>
    <x v="1"/>
    <s v="Laptop"/>
    <n v="24020.69"/>
    <n v="3780.95"/>
    <n v="3"/>
    <x v="1"/>
  </r>
  <r>
    <s v="ORD1121"/>
    <d v="2025-04-11T00:00:00"/>
    <x v="3"/>
    <s v="Arjun"/>
    <x v="1"/>
    <x v="1"/>
    <x v="0"/>
    <s v="Table"/>
    <n v="24140.92"/>
    <n v="4080.28"/>
    <n v="2"/>
    <x v="0"/>
  </r>
  <r>
    <s v="ORD1008"/>
    <d v="2025-04-13T00:00:00"/>
    <x v="3"/>
    <s v="Aditya"/>
    <x v="2"/>
    <x v="3"/>
    <x v="0"/>
    <s v="Sofa"/>
    <n v="42558.89"/>
    <n v="2729.14"/>
    <n v="6"/>
    <x v="1"/>
  </r>
  <r>
    <s v="ORD1027"/>
    <d v="2025-04-14T00:00:00"/>
    <x v="3"/>
    <s v="Diya"/>
    <x v="1"/>
    <x v="7"/>
    <x v="0"/>
    <s v="Chair"/>
    <n v="39614.85"/>
    <n v="3438.39"/>
    <n v="4"/>
    <x v="2"/>
  </r>
  <r>
    <s v="ORD1160"/>
    <d v="2025-04-14T00:00:00"/>
    <x v="3"/>
    <s v="Kiran"/>
    <x v="4"/>
    <x v="5"/>
    <x v="2"/>
    <s v="Notebook"/>
    <n v="17275.28"/>
    <n v="1218.83"/>
    <n v="8"/>
    <x v="0"/>
  </r>
  <r>
    <s v="ORD1186"/>
    <d v="2025-04-19T00:00:00"/>
    <x v="3"/>
    <s v="Riya"/>
    <x v="4"/>
    <x v="5"/>
    <x v="2"/>
    <s v="Printer Paper"/>
    <n v="47539.94"/>
    <n v="10048.629999999999"/>
    <n v="3"/>
    <x v="1"/>
  </r>
  <r>
    <s v="ORD1083"/>
    <d v="2025-04-20T00:00:00"/>
    <x v="3"/>
    <s v="Karthik"/>
    <x v="4"/>
    <x v="5"/>
    <x v="2"/>
    <s v="Printer Paper"/>
    <n v="15417.96"/>
    <n v="3369.26"/>
    <n v="1"/>
    <x v="2"/>
  </r>
  <r>
    <s v="ORD1117"/>
    <d v="2025-04-20T00:00:00"/>
    <x v="3"/>
    <s v="Sanjana"/>
    <x v="3"/>
    <x v="4"/>
    <x v="2"/>
    <s v="Printer Paper"/>
    <n v="30587.52"/>
    <n v="5677.43"/>
    <n v="1"/>
    <x v="0"/>
  </r>
  <r>
    <s v="ORD1128"/>
    <d v="2025-04-21T00:00:00"/>
    <x v="3"/>
    <s v="Sneha"/>
    <x v="5"/>
    <x v="6"/>
    <x v="2"/>
    <s v="Pen"/>
    <n v="6822.45"/>
    <n v="1428.58"/>
    <n v="5"/>
    <x v="2"/>
  </r>
  <r>
    <s v="ORD1139"/>
    <d v="2025-04-21T00:00:00"/>
    <x v="3"/>
    <s v="Rahul"/>
    <x v="3"/>
    <x v="4"/>
    <x v="2"/>
    <s v="Pen"/>
    <n v="3599.61"/>
    <n v="305.2"/>
    <n v="3"/>
    <x v="0"/>
  </r>
  <r>
    <s v="ORD1077"/>
    <d v="2025-04-23T00:00:00"/>
    <x v="3"/>
    <s v="Meera"/>
    <x v="2"/>
    <x v="8"/>
    <x v="1"/>
    <s v="Headphones"/>
    <n v="21360.68"/>
    <n v="1254.6099999999999"/>
    <n v="1"/>
    <x v="0"/>
  </r>
  <r>
    <s v="ORD1085"/>
    <d v="2025-04-23T00:00:00"/>
    <x v="3"/>
    <s v="Varun"/>
    <x v="4"/>
    <x v="9"/>
    <x v="0"/>
    <s v="Sofa"/>
    <n v="28291.74"/>
    <n v="4302.6400000000003"/>
    <n v="1"/>
    <x v="2"/>
  </r>
  <r>
    <s v="ORD1145"/>
    <d v="2025-04-23T00:00:00"/>
    <x v="3"/>
    <s v="Neha"/>
    <x v="2"/>
    <x v="3"/>
    <x v="2"/>
    <s v="Printer Paper"/>
    <n v="38866.49"/>
    <n v="2196.4"/>
    <n v="6"/>
    <x v="1"/>
  </r>
  <r>
    <s v="ORD1068"/>
    <d v="2025-05-06T00:00:00"/>
    <x v="4"/>
    <s v="Vikram"/>
    <x v="5"/>
    <x v="10"/>
    <x v="0"/>
    <s v="Sofa"/>
    <n v="21798.61"/>
    <n v="1867.8"/>
    <n v="5"/>
    <x v="1"/>
  </r>
  <r>
    <s v="ORD1038"/>
    <d v="2025-05-07T00:00:00"/>
    <x v="4"/>
    <s v="Rahul"/>
    <x v="3"/>
    <x v="4"/>
    <x v="0"/>
    <s v="Chair"/>
    <n v="49793.56"/>
    <n v="3329.01"/>
    <n v="4"/>
    <x v="2"/>
  </r>
  <r>
    <s v="ORD1065"/>
    <d v="2025-05-10T00:00:00"/>
    <x v="4"/>
    <s v="Karthik"/>
    <x v="4"/>
    <x v="9"/>
    <x v="2"/>
    <s v="Notebook"/>
    <n v="35938.089999999997"/>
    <n v="3561.01"/>
    <n v="4"/>
    <x v="1"/>
  </r>
  <r>
    <s v="ORD1053"/>
    <d v="2025-05-11T00:00:00"/>
    <x v="4"/>
    <s v="Varun"/>
    <x v="3"/>
    <x v="4"/>
    <x v="0"/>
    <s v="Chair"/>
    <n v="31297.45"/>
    <n v="4816.6400000000003"/>
    <n v="5"/>
    <x v="2"/>
  </r>
  <r>
    <s v="ORD1109"/>
    <d v="2025-05-11T00:00:00"/>
    <x v="4"/>
    <s v="Priya"/>
    <x v="0"/>
    <x v="2"/>
    <x v="1"/>
    <s v="Headphones"/>
    <n v="19711.310000000001"/>
    <n v="4377.0200000000004"/>
    <n v="4"/>
    <x v="1"/>
  </r>
  <r>
    <s v="ORD1189"/>
    <d v="2025-05-13T00:00:00"/>
    <x v="4"/>
    <s v="Arjun"/>
    <x v="5"/>
    <x v="10"/>
    <x v="1"/>
    <s v="Headphones"/>
    <n v="25248.2"/>
    <n v="2641.46"/>
    <n v="7"/>
    <x v="1"/>
  </r>
  <r>
    <s v="ORD1079"/>
    <d v="2025-05-14T00:00:00"/>
    <x v="4"/>
    <s v="Pooja"/>
    <x v="3"/>
    <x v="4"/>
    <x v="0"/>
    <s v="Table"/>
    <n v="38769.15"/>
    <n v="6252.76"/>
    <n v="3"/>
    <x v="2"/>
  </r>
  <r>
    <s v="ORD1020"/>
    <d v="2025-05-17T00:00:00"/>
    <x v="4"/>
    <s v="Diya"/>
    <x v="4"/>
    <x v="9"/>
    <x v="0"/>
    <s v="Chair"/>
    <n v="3832.61"/>
    <n v="244.74"/>
    <n v="6"/>
    <x v="1"/>
  </r>
  <r>
    <s v="ORD1084"/>
    <d v="2025-05-17T00:00:00"/>
    <x v="4"/>
    <s v="Arjun"/>
    <x v="1"/>
    <x v="7"/>
    <x v="1"/>
    <s v="Headphones"/>
    <n v="7654.79"/>
    <n v="1116.19"/>
    <n v="7"/>
    <x v="1"/>
  </r>
  <r>
    <s v="ORD1017"/>
    <d v="2025-05-18T00:00:00"/>
    <x v="4"/>
    <s v="Neha"/>
    <x v="2"/>
    <x v="3"/>
    <x v="2"/>
    <s v="Pen"/>
    <n v="36530.51"/>
    <n v="6121.62"/>
    <n v="6"/>
    <x v="2"/>
  </r>
  <r>
    <s v="ORD1167"/>
    <d v="2025-05-18T00:00:00"/>
    <x v="4"/>
    <s v="Kiran"/>
    <x v="0"/>
    <x v="0"/>
    <x v="2"/>
    <s v="Notebook"/>
    <n v="4601.68"/>
    <n v="595.71"/>
    <n v="6"/>
    <x v="2"/>
  </r>
  <r>
    <s v="ORD1105"/>
    <d v="2025-05-19T00:00:00"/>
    <x v="4"/>
    <s v="Neha"/>
    <x v="2"/>
    <x v="3"/>
    <x v="2"/>
    <s v="Printer Paper"/>
    <n v="13261.08"/>
    <n v="1186.21"/>
    <n v="6"/>
    <x v="1"/>
  </r>
  <r>
    <s v="ORD1199"/>
    <d v="2025-05-19T00:00:00"/>
    <x v="4"/>
    <s v="Meera"/>
    <x v="3"/>
    <x v="4"/>
    <x v="2"/>
    <s v="Notebook"/>
    <n v="23793.56"/>
    <n v="5046.3"/>
    <n v="2"/>
    <x v="1"/>
  </r>
  <r>
    <s v="ORD1146"/>
    <d v="2025-05-20T00:00:00"/>
    <x v="4"/>
    <s v="Diya"/>
    <x v="4"/>
    <x v="5"/>
    <x v="1"/>
    <s v="Laptop"/>
    <n v="791.58"/>
    <n v="166.82"/>
    <n v="1"/>
    <x v="1"/>
  </r>
  <r>
    <s v="ORD1076"/>
    <d v="2025-05-23T00:00:00"/>
    <x v="4"/>
    <s v="Meera"/>
    <x v="5"/>
    <x v="10"/>
    <x v="2"/>
    <s v="Pen"/>
    <n v="9173.02"/>
    <n v="2145.3200000000002"/>
    <n v="4"/>
    <x v="0"/>
  </r>
  <r>
    <s v="ORD1155"/>
    <d v="2025-05-23T00:00:00"/>
    <x v="4"/>
    <s v="Pooja"/>
    <x v="0"/>
    <x v="0"/>
    <x v="2"/>
    <s v="Pen"/>
    <n v="47832.68"/>
    <n v="7182.66"/>
    <n v="6"/>
    <x v="0"/>
  </r>
  <r>
    <s v="ORD1113"/>
    <d v="2025-06-01T00:00:00"/>
    <x v="5"/>
    <s v="Priya"/>
    <x v="3"/>
    <x v="4"/>
    <x v="2"/>
    <s v="Notebook"/>
    <n v="48853.74"/>
    <n v="9271.19"/>
    <n v="5"/>
    <x v="2"/>
  </r>
  <r>
    <s v="ORD1141"/>
    <d v="2025-06-01T00:00:00"/>
    <x v="5"/>
    <s v="Rohan"/>
    <x v="5"/>
    <x v="10"/>
    <x v="0"/>
    <s v="Table"/>
    <n v="41959.43"/>
    <n v="7706.48"/>
    <n v="7"/>
    <x v="2"/>
  </r>
  <r>
    <s v="ORD1195"/>
    <d v="2025-06-04T00:00:00"/>
    <x v="5"/>
    <s v="Neha"/>
    <x v="2"/>
    <x v="3"/>
    <x v="0"/>
    <s v="Table"/>
    <n v="37504.160000000003"/>
    <n v="7858.43"/>
    <n v="1"/>
    <x v="2"/>
  </r>
  <r>
    <s v="ORD1151"/>
    <d v="2025-06-09T00:00:00"/>
    <x v="5"/>
    <s v="Diya"/>
    <x v="5"/>
    <x v="10"/>
    <x v="2"/>
    <s v="Printer Paper"/>
    <n v="40860.21"/>
    <n v="9917.48"/>
    <n v="9"/>
    <x v="2"/>
  </r>
  <r>
    <s v="ORD1164"/>
    <d v="2025-06-09T00:00:00"/>
    <x v="5"/>
    <s v="Diya"/>
    <x v="1"/>
    <x v="1"/>
    <x v="1"/>
    <s v="Headphones"/>
    <n v="25537.58"/>
    <n v="1994.84"/>
    <n v="9"/>
    <x v="2"/>
  </r>
  <r>
    <s v="ORD1179"/>
    <d v="2025-06-09T00:00:00"/>
    <x v="5"/>
    <s v="Karthik"/>
    <x v="3"/>
    <x v="4"/>
    <x v="1"/>
    <s v="Mobile"/>
    <n v="2925.65"/>
    <n v="282.91000000000003"/>
    <n v="4"/>
    <x v="0"/>
  </r>
  <r>
    <s v="ORD1126"/>
    <d v="2025-06-11T00:00:00"/>
    <x v="5"/>
    <s v="Vikram"/>
    <x v="0"/>
    <x v="0"/>
    <x v="2"/>
    <s v="Pen"/>
    <n v="36826.44"/>
    <n v="6360.54"/>
    <n v="2"/>
    <x v="0"/>
  </r>
  <r>
    <s v="ORD1177"/>
    <d v="2025-06-11T00:00:00"/>
    <x v="5"/>
    <s v="Meera"/>
    <x v="0"/>
    <x v="0"/>
    <x v="1"/>
    <s v="Headphones"/>
    <n v="27026.14"/>
    <n v="5601.57"/>
    <n v="10"/>
    <x v="0"/>
  </r>
  <r>
    <s v="ORD1064"/>
    <d v="2025-06-15T00:00:00"/>
    <x v="5"/>
    <s v="Karthik"/>
    <x v="3"/>
    <x v="4"/>
    <x v="0"/>
    <s v="Sofa"/>
    <n v="39398.92"/>
    <n v="8894.43"/>
    <n v="10"/>
    <x v="1"/>
  </r>
  <r>
    <s v="ORD1157"/>
    <d v="2025-06-16T00:00:00"/>
    <x v="5"/>
    <s v="Aarav"/>
    <x v="2"/>
    <x v="8"/>
    <x v="2"/>
    <s v="Pen"/>
    <n v="16200.84"/>
    <n v="1197.75"/>
    <n v="1"/>
    <x v="1"/>
  </r>
  <r>
    <s v="ORD1016"/>
    <d v="2025-06-18T00:00:00"/>
    <x v="5"/>
    <s v="Sanjana"/>
    <x v="3"/>
    <x v="4"/>
    <x v="1"/>
    <s v="Mobile"/>
    <n v="566.21"/>
    <n v="44.1"/>
    <n v="3"/>
    <x v="0"/>
  </r>
  <r>
    <s v="ORD1091"/>
    <d v="2025-06-19T00:00:00"/>
    <x v="5"/>
    <s v="Sneha"/>
    <x v="4"/>
    <x v="5"/>
    <x v="1"/>
    <s v="Mobile"/>
    <n v="1590.62"/>
    <n v="202.35"/>
    <n v="8"/>
    <x v="2"/>
  </r>
  <r>
    <s v="ORD1124"/>
    <d v="2025-07-01T00:00:00"/>
    <x v="6"/>
    <s v="Aarav"/>
    <x v="5"/>
    <x v="6"/>
    <x v="0"/>
    <s v="Table"/>
    <n v="8272.19"/>
    <n v="709.56"/>
    <n v="1"/>
    <x v="0"/>
  </r>
  <r>
    <s v="ORD1115"/>
    <d v="2025-07-06T00:00:00"/>
    <x v="6"/>
    <s v="Karthik"/>
    <x v="1"/>
    <x v="1"/>
    <x v="0"/>
    <s v="Chair"/>
    <n v="16128"/>
    <n v="940.84"/>
    <n v="7"/>
    <x v="2"/>
  </r>
  <r>
    <s v="ORD1061"/>
    <d v="2025-07-08T00:00:00"/>
    <x v="6"/>
    <s v="Riya"/>
    <x v="1"/>
    <x v="1"/>
    <x v="2"/>
    <s v="Notebook"/>
    <n v="6829.52"/>
    <n v="1193.03"/>
    <n v="1"/>
    <x v="2"/>
  </r>
  <r>
    <s v="ORD1134"/>
    <d v="2025-07-09T00:00:00"/>
    <x v="6"/>
    <s v="Sanjana"/>
    <x v="4"/>
    <x v="9"/>
    <x v="1"/>
    <s v="Mobile"/>
    <n v="1329.76"/>
    <n v="98.39"/>
    <n v="5"/>
    <x v="0"/>
  </r>
  <r>
    <s v="ORD1156"/>
    <d v="2025-07-09T00:00:00"/>
    <x v="6"/>
    <s v="Arjun"/>
    <x v="3"/>
    <x v="4"/>
    <x v="2"/>
    <s v="Notebook"/>
    <n v="48480.12"/>
    <n v="5795.43"/>
    <n v="2"/>
    <x v="2"/>
  </r>
  <r>
    <s v="ORD1172"/>
    <d v="2025-07-09T00:00:00"/>
    <x v="6"/>
    <s v="Varun"/>
    <x v="0"/>
    <x v="2"/>
    <x v="0"/>
    <s v="Chair"/>
    <n v="23037.35"/>
    <n v="4364.13"/>
    <n v="8"/>
    <x v="0"/>
  </r>
  <r>
    <s v="ORD1030"/>
    <d v="2025-07-13T00:00:00"/>
    <x v="6"/>
    <s v="Aisha"/>
    <x v="4"/>
    <x v="9"/>
    <x v="1"/>
    <s v="Mobile"/>
    <n v="39697.19"/>
    <n v="6456.97"/>
    <n v="1"/>
    <x v="0"/>
  </r>
  <r>
    <s v="ORD1133"/>
    <d v="2025-07-15T00:00:00"/>
    <x v="6"/>
    <s v="Rohan"/>
    <x v="2"/>
    <x v="3"/>
    <x v="2"/>
    <s v="Pen"/>
    <n v="34135.949999999997"/>
    <n v="6912.32"/>
    <n v="5"/>
    <x v="0"/>
  </r>
  <r>
    <s v="ORD1185"/>
    <d v="2025-07-15T00:00:00"/>
    <x v="6"/>
    <s v="Rahul"/>
    <x v="0"/>
    <x v="2"/>
    <x v="2"/>
    <s v="Notebook"/>
    <n v="28800.66"/>
    <n v="5697.76"/>
    <n v="4"/>
    <x v="0"/>
  </r>
  <r>
    <s v="ORD1122"/>
    <d v="2025-07-26T00:00:00"/>
    <x v="6"/>
    <s v="Aisha"/>
    <x v="3"/>
    <x v="4"/>
    <x v="1"/>
    <s v="Laptop"/>
    <n v="9026.44"/>
    <n v="1674.59"/>
    <n v="3"/>
    <x v="2"/>
  </r>
  <r>
    <s v="ORD1046"/>
    <d v="2025-07-28T00:00:00"/>
    <x v="6"/>
    <s v="Rahul"/>
    <x v="0"/>
    <x v="0"/>
    <x v="2"/>
    <s v="Printer Paper"/>
    <n v="19661.89"/>
    <n v="1108.82"/>
    <n v="3"/>
    <x v="0"/>
  </r>
  <r>
    <s v="ORD1191"/>
    <d v="2025-07-31T00:00:00"/>
    <x v="6"/>
    <s v="Aisha"/>
    <x v="1"/>
    <x v="1"/>
    <x v="0"/>
    <s v="Chair"/>
    <n v="34487.53"/>
    <n v="7991.7"/>
    <n v="2"/>
    <x v="2"/>
  </r>
  <r>
    <s v="ORD1025"/>
    <d v="2025-08-04T00:00:00"/>
    <x v="7"/>
    <s v="Aisha"/>
    <x v="1"/>
    <x v="7"/>
    <x v="2"/>
    <s v="Notebook"/>
    <n v="12987.19"/>
    <n v="1085.1500000000001"/>
    <n v="8"/>
    <x v="1"/>
  </r>
  <r>
    <s v="ORD1193"/>
    <d v="2025-08-05T00:00:00"/>
    <x v="7"/>
    <s v="Aisha"/>
    <x v="0"/>
    <x v="0"/>
    <x v="2"/>
    <s v="Notebook"/>
    <n v="3747.92"/>
    <n v="603.91"/>
    <n v="8"/>
    <x v="2"/>
  </r>
  <r>
    <s v="ORD1144"/>
    <d v="2025-08-06T00:00:00"/>
    <x v="7"/>
    <s v="Aditya"/>
    <x v="5"/>
    <x v="10"/>
    <x v="0"/>
    <s v="Table"/>
    <n v="8901.5499999999993"/>
    <n v="916.72"/>
    <n v="5"/>
    <x v="2"/>
  </r>
  <r>
    <s v="ORD1182"/>
    <d v="2025-08-07T00:00:00"/>
    <x v="7"/>
    <s v="Meera"/>
    <x v="3"/>
    <x v="4"/>
    <x v="0"/>
    <s v="Chair"/>
    <n v="11327.93"/>
    <n v="2824.97"/>
    <n v="2"/>
    <x v="2"/>
  </r>
  <r>
    <s v="ORD1048"/>
    <d v="2025-08-08T00:00:00"/>
    <x v="7"/>
    <s v="Vikram"/>
    <x v="1"/>
    <x v="7"/>
    <x v="2"/>
    <s v="Notebook"/>
    <n v="3249.5"/>
    <n v="374.38"/>
    <n v="9"/>
    <x v="1"/>
  </r>
  <r>
    <s v="ORD1012"/>
    <d v="2025-08-09T00:00:00"/>
    <x v="7"/>
    <s v="Karthik"/>
    <x v="4"/>
    <x v="5"/>
    <x v="0"/>
    <s v="Sofa"/>
    <n v="32760.94"/>
    <n v="4810.03"/>
    <n v="7"/>
    <x v="1"/>
  </r>
  <r>
    <s v="ORD1096"/>
    <d v="2025-08-09T00:00:00"/>
    <x v="7"/>
    <s v="Kiran"/>
    <x v="4"/>
    <x v="5"/>
    <x v="0"/>
    <s v="Table"/>
    <n v="929.84"/>
    <n v="119.49"/>
    <n v="2"/>
    <x v="2"/>
  </r>
  <r>
    <s v="ORD1033"/>
    <d v="2025-08-10T00:00:00"/>
    <x v="7"/>
    <s v="Kiran"/>
    <x v="4"/>
    <x v="5"/>
    <x v="2"/>
    <s v="Pen"/>
    <n v="7443.96"/>
    <n v="498.72"/>
    <n v="5"/>
    <x v="2"/>
  </r>
  <r>
    <s v="ORD1140"/>
    <d v="2025-08-10T00:00:00"/>
    <x v="7"/>
    <s v="Arjun"/>
    <x v="1"/>
    <x v="1"/>
    <x v="1"/>
    <s v="Mobile"/>
    <n v="43432.49"/>
    <n v="4003.61"/>
    <n v="7"/>
    <x v="0"/>
  </r>
  <r>
    <s v="ORD1131"/>
    <d v="2025-08-11T00:00:00"/>
    <x v="7"/>
    <s v="Meera"/>
    <x v="0"/>
    <x v="0"/>
    <x v="0"/>
    <s v="Chair"/>
    <n v="20140.64"/>
    <n v="3836.64"/>
    <n v="9"/>
    <x v="1"/>
  </r>
  <r>
    <s v="ORD1147"/>
    <d v="2025-08-12T00:00:00"/>
    <x v="7"/>
    <s v="Sneha"/>
    <x v="2"/>
    <x v="3"/>
    <x v="1"/>
    <s v="Headphones"/>
    <n v="25462.29"/>
    <n v="3630.33"/>
    <n v="7"/>
    <x v="2"/>
  </r>
  <r>
    <s v="ORD1041"/>
    <d v="2025-08-17T00:00:00"/>
    <x v="7"/>
    <s v="Sanjana"/>
    <x v="1"/>
    <x v="1"/>
    <x v="1"/>
    <s v="Laptop"/>
    <n v="4834.88"/>
    <n v="401.88"/>
    <n v="7"/>
    <x v="0"/>
  </r>
  <r>
    <s v="ORD1057"/>
    <d v="2025-08-20T00:00:00"/>
    <x v="7"/>
    <s v="Sneha"/>
    <x v="2"/>
    <x v="3"/>
    <x v="0"/>
    <s v="Sofa"/>
    <n v="25130.2"/>
    <n v="1769.7"/>
    <n v="3"/>
    <x v="1"/>
  </r>
  <r>
    <s v="ORD1158"/>
    <d v="2025-08-20T00:00:00"/>
    <x v="7"/>
    <s v="Nikhil"/>
    <x v="1"/>
    <x v="7"/>
    <x v="2"/>
    <s v="Notebook"/>
    <n v="10384.19"/>
    <n v="1361.31"/>
    <n v="4"/>
    <x v="1"/>
  </r>
  <r>
    <s v="ORD1072"/>
    <d v="2025-08-24T00:00:00"/>
    <x v="7"/>
    <s v="Ananya"/>
    <x v="2"/>
    <x v="8"/>
    <x v="2"/>
    <s v="Pen"/>
    <n v="1610.74"/>
    <n v="379.73"/>
    <n v="7"/>
    <x v="1"/>
  </r>
  <r>
    <s v="ORD1166"/>
    <d v="2025-08-24T00:00:00"/>
    <x v="7"/>
    <s v="Arjun"/>
    <x v="3"/>
    <x v="4"/>
    <x v="2"/>
    <s v="Printer Paper"/>
    <n v="27473.73"/>
    <n v="4762.8500000000004"/>
    <n v="8"/>
    <x v="0"/>
  </r>
  <r>
    <s v="ORD1052"/>
    <d v="2025-08-25T00:00:00"/>
    <x v="7"/>
    <s v="Rohan"/>
    <x v="4"/>
    <x v="5"/>
    <x v="0"/>
    <s v="Chair"/>
    <n v="5825.15"/>
    <n v="516.08000000000004"/>
    <n v="4"/>
    <x v="0"/>
  </r>
  <r>
    <s v="ORD1103"/>
    <d v="2025-08-25T00:00:00"/>
    <x v="7"/>
    <s v="Rahul"/>
    <x v="5"/>
    <x v="10"/>
    <x v="0"/>
    <s v="Sofa"/>
    <n v="40658.800000000003"/>
    <n v="7566.03"/>
    <n v="9"/>
    <x v="0"/>
  </r>
  <r>
    <s v="ORD1098"/>
    <d v="2025-08-26T00:00:00"/>
    <x v="7"/>
    <s v="Nikhil"/>
    <x v="4"/>
    <x v="9"/>
    <x v="0"/>
    <s v="Table"/>
    <n v="41663.57"/>
    <n v="3039.95"/>
    <n v="7"/>
    <x v="1"/>
  </r>
  <r>
    <s v="ORD1045"/>
    <d v="2025-08-29T00:00:00"/>
    <x v="7"/>
    <s v="Kiran"/>
    <x v="3"/>
    <x v="4"/>
    <x v="1"/>
    <s v="Mobile"/>
    <n v="21252.97"/>
    <n v="4512.66"/>
    <n v="7"/>
    <x v="1"/>
  </r>
  <r>
    <s v="ORD1114"/>
    <d v="2025-08-29T00:00:00"/>
    <x v="7"/>
    <s v="Aisha"/>
    <x v="3"/>
    <x v="4"/>
    <x v="2"/>
    <s v="Pen"/>
    <n v="14022.57"/>
    <n v="3030.61"/>
    <n v="7"/>
    <x v="0"/>
  </r>
  <r>
    <s v="ORD1024"/>
    <d v="2025-09-01T00:00:00"/>
    <x v="8"/>
    <s v="Vikram"/>
    <x v="2"/>
    <x v="3"/>
    <x v="0"/>
    <s v="Chair"/>
    <n v="35217.97"/>
    <n v="8220.5400000000009"/>
    <n v="8"/>
    <x v="2"/>
  </r>
  <r>
    <s v="ORD1118"/>
    <d v="2025-09-01T00:00:00"/>
    <x v="8"/>
    <s v="Aditya"/>
    <x v="1"/>
    <x v="1"/>
    <x v="0"/>
    <s v="Table"/>
    <n v="657.55"/>
    <n v="155.85"/>
    <n v="4"/>
    <x v="2"/>
  </r>
  <r>
    <s v="ORD1035"/>
    <d v="2025-09-02T00:00:00"/>
    <x v="8"/>
    <s v="Kiran"/>
    <x v="4"/>
    <x v="9"/>
    <x v="2"/>
    <s v="Notebook"/>
    <n v="13538.29"/>
    <n v="2432.94"/>
    <n v="1"/>
    <x v="0"/>
  </r>
  <r>
    <s v="ORD1119"/>
    <d v="2025-09-02T00:00:00"/>
    <x v="8"/>
    <s v="Karthik"/>
    <x v="2"/>
    <x v="3"/>
    <x v="2"/>
    <s v="Pen"/>
    <n v="38241.51"/>
    <n v="6432.39"/>
    <n v="10"/>
    <x v="0"/>
  </r>
  <r>
    <s v="ORD1142"/>
    <d v="2025-09-02T00:00:00"/>
    <x v="8"/>
    <s v="Aditya"/>
    <x v="0"/>
    <x v="0"/>
    <x v="0"/>
    <s v="Table"/>
    <n v="24180.03"/>
    <n v="2802.34"/>
    <n v="10"/>
    <x v="2"/>
  </r>
  <r>
    <s v="ORD1005"/>
    <d v="2025-09-03T00:00:00"/>
    <x v="8"/>
    <s v="Neha"/>
    <x v="1"/>
    <x v="7"/>
    <x v="2"/>
    <s v="Notebook"/>
    <n v="34408.449999999997"/>
    <n v="1820.02"/>
    <n v="3"/>
    <x v="0"/>
  </r>
  <r>
    <s v="ORD1056"/>
    <d v="2025-09-04T00:00:00"/>
    <x v="8"/>
    <s v="Pooja"/>
    <x v="1"/>
    <x v="1"/>
    <x v="0"/>
    <s v="Chair"/>
    <n v="43259.59"/>
    <n v="6448.87"/>
    <n v="10"/>
    <x v="0"/>
  </r>
  <r>
    <s v="ORD1044"/>
    <d v="2025-09-06T00:00:00"/>
    <x v="8"/>
    <s v="Vikram"/>
    <x v="3"/>
    <x v="4"/>
    <x v="0"/>
    <s v="Table"/>
    <n v="2805.34"/>
    <n v="161.04"/>
    <n v="7"/>
    <x v="0"/>
  </r>
  <r>
    <s v="ORD1081"/>
    <d v="2025-09-13T00:00:00"/>
    <x v="8"/>
    <s v="Meera"/>
    <x v="4"/>
    <x v="9"/>
    <x v="1"/>
    <s v="Mobile"/>
    <n v="26880.55"/>
    <n v="1503.12"/>
    <n v="6"/>
    <x v="1"/>
  </r>
  <r>
    <s v="ORD1015"/>
    <d v="2025-09-14T00:00:00"/>
    <x v="8"/>
    <s v="Rahul"/>
    <x v="4"/>
    <x v="9"/>
    <x v="0"/>
    <s v="Table"/>
    <n v="26020.86"/>
    <n v="3476.46"/>
    <n v="4"/>
    <x v="0"/>
  </r>
  <r>
    <s v="ORD1184"/>
    <d v="2025-09-16T00:00:00"/>
    <x v="8"/>
    <s v="Varun"/>
    <x v="5"/>
    <x v="6"/>
    <x v="1"/>
    <s v="Headphones"/>
    <n v="1941.41"/>
    <n v="480.14"/>
    <n v="1"/>
    <x v="2"/>
  </r>
  <r>
    <s v="ORD1032"/>
    <d v="2025-09-18T00:00:00"/>
    <x v="8"/>
    <s v="Pooja"/>
    <x v="2"/>
    <x v="3"/>
    <x v="0"/>
    <s v="Table"/>
    <n v="1257.8499999999999"/>
    <n v="195.44"/>
    <n v="5"/>
    <x v="1"/>
  </r>
  <r>
    <s v="ORD1092"/>
    <d v="2025-09-18T00:00:00"/>
    <x v="8"/>
    <s v="Meera"/>
    <x v="3"/>
    <x v="4"/>
    <x v="0"/>
    <s v="Sofa"/>
    <n v="49739.5"/>
    <n v="9339.5300000000007"/>
    <n v="9"/>
    <x v="2"/>
  </r>
  <r>
    <s v="ORD1060"/>
    <d v="2025-09-23T00:00:00"/>
    <x v="8"/>
    <s v="Aarav"/>
    <x v="1"/>
    <x v="7"/>
    <x v="2"/>
    <s v="Printer Paper"/>
    <n v="40577.14"/>
    <n v="7734.07"/>
    <n v="3"/>
    <x v="0"/>
  </r>
  <r>
    <s v="ORD1154"/>
    <d v="2025-09-23T00:00:00"/>
    <x v="8"/>
    <s v="Diya"/>
    <x v="5"/>
    <x v="10"/>
    <x v="0"/>
    <s v="Sofa"/>
    <n v="45605.52"/>
    <n v="2759.98"/>
    <n v="2"/>
    <x v="0"/>
  </r>
  <r>
    <s v="ORD1036"/>
    <d v="2025-09-27T00:00:00"/>
    <x v="8"/>
    <s v="Riya"/>
    <x v="5"/>
    <x v="6"/>
    <x v="1"/>
    <s v="Laptop"/>
    <n v="41657.910000000003"/>
    <n v="9028.25"/>
    <n v="10"/>
    <x v="0"/>
  </r>
  <r>
    <s v="ORD1183"/>
    <d v="2025-09-29T00:00:00"/>
    <x v="8"/>
    <s v="Sanjana"/>
    <x v="2"/>
    <x v="3"/>
    <x v="1"/>
    <s v="Mobile"/>
    <n v="9082.27"/>
    <n v="999.4"/>
    <n v="8"/>
    <x v="1"/>
  </r>
  <r>
    <s v="ORD1120"/>
    <d v="2025-09-30T00:00:00"/>
    <x v="8"/>
    <s v="Sneha"/>
    <x v="1"/>
    <x v="1"/>
    <x v="1"/>
    <s v="Headphones"/>
    <n v="36765.54"/>
    <n v="6458.77"/>
    <n v="8"/>
    <x v="0"/>
  </r>
  <r>
    <s v="ORD1023"/>
    <d v="2025-10-01T00:00:00"/>
    <x v="9"/>
    <s v="Neha"/>
    <x v="5"/>
    <x v="10"/>
    <x v="2"/>
    <s v="Notebook"/>
    <n v="37849.17"/>
    <n v="7767.27"/>
    <n v="8"/>
    <x v="0"/>
  </r>
  <r>
    <s v="ORD1088"/>
    <d v="2025-10-01T00:00:00"/>
    <x v="9"/>
    <s v="Ananya"/>
    <x v="1"/>
    <x v="1"/>
    <x v="1"/>
    <s v="Mobile"/>
    <n v="9625.0499999999993"/>
    <n v="2235.9899999999998"/>
    <n v="9"/>
    <x v="2"/>
  </r>
  <r>
    <s v="ORD1007"/>
    <d v="2025-10-02T00:00:00"/>
    <x v="9"/>
    <s v="Neha"/>
    <x v="1"/>
    <x v="7"/>
    <x v="2"/>
    <s v="Printer Paper"/>
    <n v="36965.57"/>
    <n v="4941.2"/>
    <n v="8"/>
    <x v="0"/>
  </r>
  <r>
    <s v="ORD1090"/>
    <d v="2025-10-02T00:00:00"/>
    <x v="9"/>
    <s v="Pooja"/>
    <x v="3"/>
    <x v="4"/>
    <x v="0"/>
    <s v="Chair"/>
    <n v="36616.699999999997"/>
    <n v="6237.18"/>
    <n v="4"/>
    <x v="1"/>
  </r>
  <r>
    <s v="ORD1069"/>
    <d v="2025-10-03T00:00:00"/>
    <x v="9"/>
    <s v="Priya"/>
    <x v="3"/>
    <x v="4"/>
    <x v="1"/>
    <s v="Mobile"/>
    <n v="10994.41"/>
    <n v="2099.09"/>
    <n v="9"/>
    <x v="2"/>
  </r>
  <r>
    <s v="ORD1188"/>
    <d v="2025-10-03T00:00:00"/>
    <x v="9"/>
    <s v="Meera"/>
    <x v="1"/>
    <x v="1"/>
    <x v="2"/>
    <s v="Pen"/>
    <n v="7566.12"/>
    <n v="773.35"/>
    <n v="5"/>
    <x v="0"/>
  </r>
  <r>
    <s v="ORD1111"/>
    <d v="2025-10-05T00:00:00"/>
    <x v="9"/>
    <s v="Ananya"/>
    <x v="3"/>
    <x v="4"/>
    <x v="2"/>
    <s v="Notebook"/>
    <n v="11375.19"/>
    <n v="1601.44"/>
    <n v="5"/>
    <x v="0"/>
  </r>
  <r>
    <s v="ORD1006"/>
    <d v="2025-10-07T00:00:00"/>
    <x v="9"/>
    <s v="Aditya"/>
    <x v="2"/>
    <x v="8"/>
    <x v="2"/>
    <s v="Notebook"/>
    <n v="28451.21"/>
    <n v="3300.23"/>
    <n v="8"/>
    <x v="2"/>
  </r>
  <r>
    <s v="ORD1107"/>
    <d v="2025-10-07T00:00:00"/>
    <x v="9"/>
    <s v="Vikram"/>
    <x v="0"/>
    <x v="2"/>
    <x v="0"/>
    <s v="Table"/>
    <n v="48337.1"/>
    <n v="9117.7199999999993"/>
    <n v="3"/>
    <x v="0"/>
  </r>
  <r>
    <s v="ORD1059"/>
    <d v="2025-10-12T00:00:00"/>
    <x v="9"/>
    <s v="Karthik"/>
    <x v="1"/>
    <x v="7"/>
    <x v="2"/>
    <s v="Pen"/>
    <n v="11211"/>
    <n v="2425.19"/>
    <n v="3"/>
    <x v="2"/>
  </r>
  <r>
    <s v="ORD1123"/>
    <d v="2025-10-14T00:00:00"/>
    <x v="9"/>
    <s v="Sanjana"/>
    <x v="3"/>
    <x v="4"/>
    <x v="0"/>
    <s v="Sofa"/>
    <n v="1586.28"/>
    <n v="348.46"/>
    <n v="4"/>
    <x v="1"/>
  </r>
  <r>
    <s v="ORD1080"/>
    <d v="2025-10-15T00:00:00"/>
    <x v="9"/>
    <s v="Vikram"/>
    <x v="0"/>
    <x v="0"/>
    <x v="1"/>
    <s v="Mobile"/>
    <n v="8025.11"/>
    <n v="1156.94"/>
    <n v="5"/>
    <x v="2"/>
  </r>
  <r>
    <s v="ORD1130"/>
    <d v="2025-10-17T00:00:00"/>
    <x v="9"/>
    <s v="Diya"/>
    <x v="4"/>
    <x v="9"/>
    <x v="2"/>
    <s v="Notebook"/>
    <n v="31048.29"/>
    <n v="6238.33"/>
    <n v="1"/>
    <x v="2"/>
  </r>
  <r>
    <s v="ORD1187"/>
    <d v="2025-10-18T00:00:00"/>
    <x v="9"/>
    <s v="Arjun"/>
    <x v="4"/>
    <x v="9"/>
    <x v="1"/>
    <s v="Mobile"/>
    <n v="12953.53"/>
    <n v="2322.33"/>
    <n v="7"/>
    <x v="0"/>
  </r>
  <r>
    <s v="ORD1037"/>
    <d v="2025-10-19T00:00:00"/>
    <x v="9"/>
    <s v="Ananya"/>
    <x v="5"/>
    <x v="6"/>
    <x v="1"/>
    <s v="Headphones"/>
    <n v="46787.839999999997"/>
    <n v="3244.93"/>
    <n v="8"/>
    <x v="2"/>
  </r>
  <r>
    <s v="ORD1086"/>
    <d v="2025-10-19T00:00:00"/>
    <x v="9"/>
    <s v="Priya"/>
    <x v="5"/>
    <x v="6"/>
    <x v="1"/>
    <s v="Mobile"/>
    <n v="20069.330000000002"/>
    <n v="1631.55"/>
    <n v="3"/>
    <x v="0"/>
  </r>
  <r>
    <s v="ORD1136"/>
    <d v="2025-10-20T00:00:00"/>
    <x v="9"/>
    <s v="Rohan"/>
    <x v="1"/>
    <x v="1"/>
    <x v="2"/>
    <s v="Pen"/>
    <n v="17961.96"/>
    <n v="1601.63"/>
    <n v="1"/>
    <x v="2"/>
  </r>
  <r>
    <s v="ORD1171"/>
    <d v="2025-10-22T00:00:00"/>
    <x v="9"/>
    <s v="Vikram"/>
    <x v="1"/>
    <x v="7"/>
    <x v="2"/>
    <s v="Pen"/>
    <n v="49979.43"/>
    <n v="5182.7"/>
    <n v="4"/>
    <x v="0"/>
  </r>
  <r>
    <s v="ORD1190"/>
    <d v="2025-10-26T00:00:00"/>
    <x v="9"/>
    <s v="Aisha"/>
    <x v="5"/>
    <x v="6"/>
    <x v="0"/>
    <s v="Chair"/>
    <n v="46798.13"/>
    <n v="4121.6400000000003"/>
    <n v="8"/>
    <x v="2"/>
  </r>
  <r>
    <s v="ORD1018"/>
    <d v="2025-10-27T00:00:00"/>
    <x v="9"/>
    <s v="Vikram"/>
    <x v="4"/>
    <x v="5"/>
    <x v="0"/>
    <s v="Table"/>
    <n v="45210.52"/>
    <n v="6569.79"/>
    <n v="2"/>
    <x v="0"/>
  </r>
  <r>
    <s v="ORD1066"/>
    <d v="2025-10-29T00:00:00"/>
    <x v="9"/>
    <s v="Rahul"/>
    <x v="3"/>
    <x v="4"/>
    <x v="2"/>
    <s v="Pen"/>
    <n v="48022.36"/>
    <n v="8306.0400000000009"/>
    <n v="4"/>
    <x v="2"/>
  </r>
  <r>
    <s v="ORD1137"/>
    <d v="2025-10-29T00:00:00"/>
    <x v="9"/>
    <s v="Vikram"/>
    <x v="4"/>
    <x v="5"/>
    <x v="1"/>
    <s v="Mobile"/>
    <n v="38293.93"/>
    <n v="5060.93"/>
    <n v="3"/>
    <x v="1"/>
  </r>
  <r>
    <s v="ORD1201"/>
    <d v="2025-10-29T00:00:00"/>
    <x v="9"/>
    <s v="Nikhil"/>
    <x v="1"/>
    <x v="7"/>
    <x v="1"/>
    <s v="Headphones"/>
    <n v="39250.69"/>
    <n v="8755.4"/>
    <n v="9"/>
    <x v="1"/>
  </r>
  <r>
    <s v="ORD1101"/>
    <d v="2025-11-01T00:00:00"/>
    <x v="10"/>
    <s v="Aisha"/>
    <x v="0"/>
    <x v="2"/>
    <x v="0"/>
    <s v="Sofa"/>
    <n v="24504.99"/>
    <n v="5766.32"/>
    <n v="9"/>
    <x v="1"/>
  </r>
  <r>
    <s v="ORD1198"/>
    <d v="2025-11-01T00:00:00"/>
    <x v="10"/>
    <s v="Ananya"/>
    <x v="3"/>
    <x v="4"/>
    <x v="1"/>
    <s v="Laptop"/>
    <n v="43890.98"/>
    <n v="2380.91"/>
    <n v="7"/>
    <x v="1"/>
  </r>
  <r>
    <s v="ORD1104"/>
    <d v="2025-11-03T00:00:00"/>
    <x v="10"/>
    <s v="Diya"/>
    <x v="2"/>
    <x v="3"/>
    <x v="0"/>
    <s v="Sofa"/>
    <n v="43469.01"/>
    <n v="6773.83"/>
    <n v="6"/>
    <x v="0"/>
  </r>
  <r>
    <s v="ORD1089"/>
    <d v="2025-11-04T00:00:00"/>
    <x v="10"/>
    <s v="Diya"/>
    <x v="4"/>
    <x v="9"/>
    <x v="1"/>
    <s v="Headphones"/>
    <n v="36140.92"/>
    <n v="4580.62"/>
    <n v="4"/>
    <x v="1"/>
  </r>
  <r>
    <s v="ORD1043"/>
    <d v="2025-11-05T00:00:00"/>
    <x v="10"/>
    <s v="Vikram"/>
    <x v="5"/>
    <x v="10"/>
    <x v="2"/>
    <s v="Printer Paper"/>
    <n v="22222.09"/>
    <n v="2702.89"/>
    <n v="9"/>
    <x v="1"/>
  </r>
  <r>
    <s v="ORD1021"/>
    <d v="2025-11-07T00:00:00"/>
    <x v="10"/>
    <s v="Ananya"/>
    <x v="4"/>
    <x v="9"/>
    <x v="0"/>
    <s v="Sofa"/>
    <n v="8305.0400000000009"/>
    <n v="1517.07"/>
    <n v="5"/>
    <x v="1"/>
  </r>
  <r>
    <s v="ORD1153"/>
    <d v="2025-11-08T00:00:00"/>
    <x v="10"/>
    <s v="Neha"/>
    <x v="2"/>
    <x v="8"/>
    <x v="2"/>
    <s v="Notebook"/>
    <n v="6797.07"/>
    <n v="1071.94"/>
    <n v="9"/>
    <x v="0"/>
  </r>
  <r>
    <s v="ORD1162"/>
    <d v="2025-11-17T00:00:00"/>
    <x v="10"/>
    <s v="Meera"/>
    <x v="4"/>
    <x v="5"/>
    <x v="2"/>
    <s v="Pen"/>
    <n v="42922.21"/>
    <n v="5786.25"/>
    <n v="3"/>
    <x v="0"/>
  </r>
  <r>
    <s v="ORD1095"/>
    <d v="2025-11-21T00:00:00"/>
    <x v="10"/>
    <s v="Sanjana"/>
    <x v="3"/>
    <x v="4"/>
    <x v="2"/>
    <s v="Pen"/>
    <n v="49511.55"/>
    <n v="7707.83"/>
    <n v="1"/>
    <x v="0"/>
  </r>
  <r>
    <s v="ORD1010"/>
    <d v="2025-11-23T00:00:00"/>
    <x v="10"/>
    <s v="Meera"/>
    <x v="2"/>
    <x v="3"/>
    <x v="2"/>
    <s v="Pen"/>
    <n v="10658.9"/>
    <n v="932.92"/>
    <n v="8"/>
    <x v="2"/>
  </r>
  <r>
    <s v="ORD1168"/>
    <d v="2025-11-23T00:00:00"/>
    <x v="10"/>
    <s v="Ananya"/>
    <x v="3"/>
    <x v="4"/>
    <x v="2"/>
    <s v="Printer Paper"/>
    <n v="26692.99"/>
    <n v="4379.2299999999996"/>
    <n v="4"/>
    <x v="2"/>
  </r>
  <r>
    <s v="ORD1054"/>
    <d v="2025-11-27T00:00:00"/>
    <x v="10"/>
    <s v="Kiran"/>
    <x v="0"/>
    <x v="0"/>
    <x v="1"/>
    <s v="Laptop"/>
    <n v="23810.61"/>
    <n v="5330.6"/>
    <n v="2"/>
    <x v="2"/>
  </r>
  <r>
    <s v="ORD1093"/>
    <d v="2025-11-27T00:00:00"/>
    <x v="10"/>
    <s v="Rohan"/>
    <x v="4"/>
    <x v="5"/>
    <x v="1"/>
    <s v="Headphones"/>
    <n v="46351.6"/>
    <n v="9082.08"/>
    <n v="1"/>
    <x v="1"/>
  </r>
  <r>
    <s v="ORD1062"/>
    <d v="2025-11-29T00:00:00"/>
    <x v="10"/>
    <s v="Riya"/>
    <x v="0"/>
    <x v="0"/>
    <x v="1"/>
    <s v="Headphones"/>
    <n v="24418.15"/>
    <n v="3020.95"/>
    <n v="7"/>
    <x v="2"/>
  </r>
  <r>
    <s v="ORD1127"/>
    <d v="2025-11-30T00:00:00"/>
    <x v="10"/>
    <s v="Rahul"/>
    <x v="1"/>
    <x v="1"/>
    <x v="1"/>
    <s v="Mobile"/>
    <n v="15148.63"/>
    <n v="3754.26"/>
    <n v="6"/>
    <x v="2"/>
  </r>
  <r>
    <s v="ORD1169"/>
    <d v="2025-11-30T00:00:00"/>
    <x v="10"/>
    <s v="Ananya"/>
    <x v="5"/>
    <x v="10"/>
    <x v="0"/>
    <s v="Sofa"/>
    <n v="8834.65"/>
    <n v="1210.17"/>
    <n v="3"/>
    <x v="1"/>
  </r>
  <r>
    <s v="ORD1176"/>
    <d v="2025-12-02T00:00:00"/>
    <x v="11"/>
    <s v="Sneha"/>
    <x v="1"/>
    <x v="7"/>
    <x v="1"/>
    <s v="Laptop"/>
    <n v="23907.78"/>
    <n v="3952"/>
    <n v="2"/>
    <x v="1"/>
  </r>
  <r>
    <s v="ORD1029"/>
    <d v="2025-12-05T00:00:00"/>
    <x v="11"/>
    <s v="Karthik"/>
    <x v="2"/>
    <x v="8"/>
    <x v="2"/>
    <s v="Notebook"/>
    <n v="37296.269999999997"/>
    <n v="6608.41"/>
    <n v="2"/>
    <x v="1"/>
  </r>
  <r>
    <s v="ORD1100"/>
    <d v="2025-12-06T00:00:00"/>
    <x v="11"/>
    <s v="Sneha"/>
    <x v="0"/>
    <x v="2"/>
    <x v="0"/>
    <s v="Chair"/>
    <n v="42792.49"/>
    <n v="3619.77"/>
    <n v="6"/>
    <x v="2"/>
  </r>
  <r>
    <s v="ORD1074"/>
    <d v="2025-12-08T00:00:00"/>
    <x v="11"/>
    <s v="Aarav"/>
    <x v="0"/>
    <x v="2"/>
    <x v="2"/>
    <s v="Printer Paper"/>
    <n v="3628.11"/>
    <n v="906.86"/>
    <n v="7"/>
    <x v="0"/>
  </r>
  <r>
    <s v="ORD1067"/>
    <d v="2025-12-09T00:00:00"/>
    <x v="11"/>
    <s v="Aarav"/>
    <x v="3"/>
    <x v="4"/>
    <x v="0"/>
    <s v="Chair"/>
    <n v="17030.8"/>
    <n v="960.35"/>
    <n v="2"/>
    <x v="1"/>
  </r>
  <r>
    <s v="ORD1050"/>
    <d v="2025-12-14T00:00:00"/>
    <x v="11"/>
    <s v="Rahul"/>
    <x v="5"/>
    <x v="6"/>
    <x v="0"/>
    <s v="Sofa"/>
    <n v="44791.86"/>
    <n v="2333.11"/>
    <n v="1"/>
    <x v="2"/>
  </r>
  <r>
    <s v="ORD1196"/>
    <d v="2025-12-14T00:00:00"/>
    <x v="11"/>
    <s v="Sneha"/>
    <x v="1"/>
    <x v="7"/>
    <x v="0"/>
    <s v="Chair"/>
    <n v="40930.67"/>
    <n v="2147.88"/>
    <n v="3"/>
    <x v="2"/>
  </r>
  <r>
    <s v="ORD1148"/>
    <d v="2025-12-15T00:00:00"/>
    <x v="11"/>
    <s v="Nikhil"/>
    <x v="0"/>
    <x v="2"/>
    <x v="1"/>
    <s v="Mobile"/>
    <n v="20324.11"/>
    <n v="3441.94"/>
    <n v="6"/>
    <x v="0"/>
  </r>
  <r>
    <s v="ORD1138"/>
    <d v="2025-12-16T00:00:00"/>
    <x v="11"/>
    <s v="Aisha"/>
    <x v="3"/>
    <x v="4"/>
    <x v="1"/>
    <s v="Headphones"/>
    <n v="42635.51"/>
    <n v="3398.87"/>
    <n v="5"/>
    <x v="1"/>
  </r>
  <r>
    <s v="ORD1143"/>
    <d v="2025-12-18T00:00:00"/>
    <x v="11"/>
    <s v="Riya"/>
    <x v="5"/>
    <x v="6"/>
    <x v="2"/>
    <s v="Notebook"/>
    <n v="47556.98"/>
    <n v="8495.0499999999993"/>
    <n v="7"/>
    <x v="1"/>
  </r>
  <r>
    <s v="ORD1039"/>
    <d v="2025-12-20T00:00:00"/>
    <x v="11"/>
    <s v="Aarav"/>
    <x v="1"/>
    <x v="1"/>
    <x v="2"/>
    <s v="Pen"/>
    <n v="49399.17"/>
    <n v="10102.41"/>
    <n v="10"/>
    <x v="1"/>
  </r>
  <r>
    <s v="ORD1019"/>
    <d v="2025-12-22T00:00:00"/>
    <x v="11"/>
    <s v="Vikram"/>
    <x v="5"/>
    <x v="10"/>
    <x v="1"/>
    <s v="Mobile"/>
    <n v="25877.17"/>
    <n v="2588.4"/>
    <n v="1"/>
    <x v="0"/>
  </r>
  <r>
    <s v="ORD1094"/>
    <d v="2025-12-23T00:00:00"/>
    <x v="11"/>
    <s v="Pooja"/>
    <x v="3"/>
    <x v="4"/>
    <x v="2"/>
    <s v="Printer Paper"/>
    <n v="2860.86"/>
    <n v="586.25"/>
    <n v="4"/>
    <x v="2"/>
  </r>
  <r>
    <s v="ORD1150"/>
    <d v="2025-12-24T00:00:00"/>
    <x v="11"/>
    <s v="Karthik"/>
    <x v="3"/>
    <x v="4"/>
    <x v="0"/>
    <s v="Table"/>
    <n v="48432.66"/>
    <n v="2432.6"/>
    <n v="6"/>
    <x v="0"/>
  </r>
  <r>
    <s v="ORD1070"/>
    <d v="2025-12-25T00:00:00"/>
    <x v="11"/>
    <s v="Meera"/>
    <x v="5"/>
    <x v="10"/>
    <x v="1"/>
    <s v="Headphones"/>
    <n v="42041.49"/>
    <n v="9899.5400000000009"/>
    <n v="9"/>
    <x v="1"/>
  </r>
  <r>
    <s v="ORD1132"/>
    <d v="2025-12-30T00:00:00"/>
    <x v="11"/>
    <s v="Pooja"/>
    <x v="1"/>
    <x v="7"/>
    <x v="1"/>
    <s v="Mobile"/>
    <n v="40816.26"/>
    <n v="8509.2900000000009"/>
    <n v="6"/>
    <x v="0"/>
  </r>
  <r>
    <s v="ORD1022"/>
    <d v="2025-12-31T00:00:00"/>
    <x v="11"/>
    <s v="Vikram"/>
    <x v="0"/>
    <x v="2"/>
    <x v="1"/>
    <s v="Mobile"/>
    <n v="9764.9699999999993"/>
    <n v="1711.96"/>
    <n v="8"/>
    <x v="1"/>
  </r>
  <r>
    <s v="ORD1078"/>
    <d v="2025-12-31T00:00:00"/>
    <x v="11"/>
    <s v="Priya"/>
    <x v="2"/>
    <x v="3"/>
    <x v="1"/>
    <s v="Laptop"/>
    <n v="46599.8"/>
    <n v="10883.69"/>
    <n v="5"/>
    <x v="2"/>
  </r>
  <r>
    <s v="ORD1192"/>
    <d v="2025-12-31T00:00:00"/>
    <x v="11"/>
    <s v="Neha"/>
    <x v="2"/>
    <x v="8"/>
    <x v="1"/>
    <s v="Mobile"/>
    <n v="39501.699999999997"/>
    <n v="9801.9599999999991"/>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A03BBB-5895-4B9F-BD34-A58933CC30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M35:N42" firstHeaderRow="1" firstDataRow="1" firstDataCol="1"/>
  <pivotFields count="12">
    <pivotField showAll="0"/>
    <pivotField numFmtId="164" showAll="0"/>
    <pivotField showAll="0">
      <items count="13">
        <item x="0"/>
        <item x="1"/>
        <item x="2"/>
        <item x="3"/>
        <item x="4"/>
        <item x="5"/>
        <item x="6"/>
        <item x="7"/>
        <item x="8"/>
        <item x="9"/>
        <item x="10"/>
        <item x="11"/>
        <item t="default"/>
      </items>
    </pivotField>
    <pivotField showAll="0"/>
    <pivotField axis="axisRow" showAll="0">
      <items count="7">
        <item x="3"/>
        <item x="4"/>
        <item x="5"/>
        <item x="1"/>
        <item x="0"/>
        <item x="2"/>
        <item t="default"/>
      </items>
    </pivotField>
    <pivotField showAll="0" measureFilter="1">
      <items count="12">
        <item x="5"/>
        <item x="10"/>
        <item x="2"/>
        <item x="0"/>
        <item x="3"/>
        <item x="1"/>
        <item x="6"/>
        <item x="4"/>
        <item x="7"/>
        <item x="9"/>
        <item x="8"/>
        <item t="default"/>
      </items>
    </pivotField>
    <pivotField showAll="0">
      <items count="4">
        <item x="1"/>
        <item x="0"/>
        <item x="2"/>
        <item t="default"/>
      </items>
    </pivotField>
    <pivotField showAll="0"/>
    <pivotField dataField="1" numFmtId="165" showAll="0"/>
    <pivotField numFmtId="165" showAll="0"/>
    <pivotField showAll="0"/>
    <pivotField showAll="0">
      <items count="4">
        <item x="0"/>
        <item x="1"/>
        <item x="2"/>
        <item t="default"/>
      </items>
    </pivotField>
  </pivotFields>
  <rowFields count="1">
    <field x="4"/>
  </rowFields>
  <rowItems count="7">
    <i>
      <x/>
    </i>
    <i>
      <x v="1"/>
    </i>
    <i>
      <x v="2"/>
    </i>
    <i>
      <x v="3"/>
    </i>
    <i>
      <x v="4"/>
    </i>
    <i>
      <x v="5"/>
    </i>
    <i t="grand">
      <x/>
    </i>
  </rowItems>
  <colItems count="1">
    <i/>
  </colItems>
  <dataFields count="1">
    <dataField name="Sum of Sales" fld="8" baseField="0" baseItem="0" numFmtId="166"/>
  </dataFields>
  <formats count="1">
    <format dxfId="0">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24A44D-A581-4600-9140-8FB556AAF9A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M9:N15" firstHeaderRow="1" firstDataRow="1" firstDataCol="1"/>
  <pivotFields count="12">
    <pivotField showAll="0"/>
    <pivotField numFmtId="164" showAll="0"/>
    <pivotField showAll="0">
      <items count="13">
        <item x="0"/>
        <item x="1"/>
        <item x="2"/>
        <item x="3"/>
        <item x="4"/>
        <item x="5"/>
        <item x="6"/>
        <item x="7"/>
        <item x="8"/>
        <item x="9"/>
        <item x="10"/>
        <item x="11"/>
        <item t="default"/>
      </items>
    </pivotField>
    <pivotField showAll="0"/>
    <pivotField showAll="0">
      <items count="7">
        <item x="3"/>
        <item x="4"/>
        <item x="5"/>
        <item x="1"/>
        <item x="0"/>
        <item x="2"/>
        <item t="default"/>
      </items>
    </pivotField>
    <pivotField axis="axisRow" showAll="0" measureFilter="1">
      <items count="12">
        <item x="5"/>
        <item x="10"/>
        <item x="2"/>
        <item x="0"/>
        <item x="3"/>
        <item x="1"/>
        <item x="6"/>
        <item x="4"/>
        <item x="7"/>
        <item x="9"/>
        <item x="8"/>
        <item t="default"/>
      </items>
    </pivotField>
    <pivotField showAll="0">
      <items count="4">
        <item x="1"/>
        <item x="0"/>
        <item x="2"/>
        <item t="default"/>
      </items>
    </pivotField>
    <pivotField showAll="0"/>
    <pivotField dataField="1" numFmtId="165" showAll="0"/>
    <pivotField numFmtId="165" showAll="0"/>
    <pivotField showAll="0"/>
    <pivotField showAll="0">
      <items count="4">
        <item x="0"/>
        <item x="1"/>
        <item x="2"/>
        <item t="default"/>
      </items>
    </pivotField>
  </pivotFields>
  <rowFields count="1">
    <field x="5"/>
  </rowFields>
  <rowItems count="6">
    <i>
      <x/>
    </i>
    <i>
      <x v="1"/>
    </i>
    <i>
      <x v="4"/>
    </i>
    <i>
      <x v="7"/>
    </i>
    <i>
      <x v="8"/>
    </i>
    <i t="grand">
      <x/>
    </i>
  </rowItems>
  <colItems count="1">
    <i/>
  </colItems>
  <dataFields count="1">
    <dataField name="Sum of Sales" fld="8" baseField="0" baseItem="0" numFmtId="166"/>
  </dataFields>
  <formats count="1">
    <format dxfId="1">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D1FECF-8A2E-430E-93DE-D18B93FD4D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3:B47" firstHeaderRow="1" firstDataRow="1" firstDataCol="1"/>
  <pivotFields count="12">
    <pivotField showAll="0"/>
    <pivotField numFmtId="164" showAll="0"/>
    <pivotField showAll="0">
      <items count="13">
        <item x="0"/>
        <item x="1"/>
        <item x="2"/>
        <item x="3"/>
        <item x="4"/>
        <item x="5"/>
        <item x="6"/>
        <item x="7"/>
        <item x="8"/>
        <item x="9"/>
        <item x="10"/>
        <item x="11"/>
        <item t="default"/>
      </items>
    </pivotField>
    <pivotField showAll="0"/>
    <pivotField showAll="0">
      <items count="7">
        <item x="3"/>
        <item x="4"/>
        <item x="5"/>
        <item x="1"/>
        <item x="0"/>
        <item x="2"/>
        <item t="default"/>
      </items>
    </pivotField>
    <pivotField showAll="0"/>
    <pivotField showAll="0">
      <items count="4">
        <item x="1"/>
        <item x="0"/>
        <item x="2"/>
        <item t="default"/>
      </items>
    </pivotField>
    <pivotField showAll="0"/>
    <pivotField dataField="1" numFmtId="165" showAll="0"/>
    <pivotField numFmtId="165" showAll="0"/>
    <pivotField showAll="0"/>
    <pivotField axis="axisRow" showAll="0">
      <items count="4">
        <item x="0"/>
        <item x="1"/>
        <item x="2"/>
        <item t="default"/>
      </items>
    </pivotField>
  </pivotFields>
  <rowFields count="1">
    <field x="11"/>
  </rowFields>
  <rowItems count="4">
    <i>
      <x/>
    </i>
    <i>
      <x v="1"/>
    </i>
    <i>
      <x v="2"/>
    </i>
    <i t="grand">
      <x/>
    </i>
  </rowItems>
  <colItems count="1">
    <i/>
  </colItems>
  <dataFields count="1">
    <dataField name="Sum of Sales" fld="8" baseField="0" baseItem="0" numFmtId="166"/>
  </dataFields>
  <formats count="1">
    <format dxfId="2">
      <pivotArea outline="0" collapsedLevelsAreSubtotals="1" fieldPosition="0">
        <references count="1">
          <reference field="4294967294" count="1" selected="0">
            <x v="0"/>
          </reference>
        </references>
      </pivotArea>
    </format>
  </formats>
  <chartFormats count="1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1" count="1" selected="0">
            <x v="2"/>
          </reference>
        </references>
      </pivotArea>
    </chartFormat>
    <chartFormat chart="15" format="3">
      <pivotArea type="data" outline="0" fieldPosition="0">
        <references count="2">
          <reference field="4294967294" count="1" selected="0">
            <x v="0"/>
          </reference>
          <reference field="11" count="1" selected="0">
            <x v="0"/>
          </reference>
        </references>
      </pivotArea>
    </chartFormat>
    <chartFormat chart="15" format="4">
      <pivotArea type="data" outline="0" fieldPosition="0">
        <references count="2">
          <reference field="4294967294" count="1" selected="0">
            <x v="0"/>
          </reference>
          <reference field="11" count="1" selected="0">
            <x v="1"/>
          </reference>
        </references>
      </pivotArea>
    </chartFormat>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11" count="1" selected="0">
            <x v="0"/>
          </reference>
        </references>
      </pivotArea>
    </chartFormat>
    <chartFormat chart="21" format="11">
      <pivotArea type="data" outline="0" fieldPosition="0">
        <references count="2">
          <reference field="4294967294" count="1" selected="0">
            <x v="0"/>
          </reference>
          <reference field="11" count="1" selected="0">
            <x v="1"/>
          </reference>
        </references>
      </pivotArea>
    </chartFormat>
    <chartFormat chart="21" format="12">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6326DA-DC05-4BB2-8B76-60194126A1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6:B30" firstHeaderRow="1" firstDataRow="1" firstDataCol="1"/>
  <pivotFields count="12">
    <pivotField showAll="0"/>
    <pivotField numFmtId="164" showAll="0"/>
    <pivotField showAll="0">
      <items count="13">
        <item x="0"/>
        <item x="1"/>
        <item x="2"/>
        <item x="3"/>
        <item x="4"/>
        <item x="5"/>
        <item x="6"/>
        <item x="7"/>
        <item x="8"/>
        <item x="9"/>
        <item x="10"/>
        <item x="11"/>
        <item t="default"/>
      </items>
    </pivotField>
    <pivotField showAll="0"/>
    <pivotField showAll="0">
      <items count="7">
        <item x="3"/>
        <item x="4"/>
        <item x="5"/>
        <item x="1"/>
        <item x="0"/>
        <item x="2"/>
        <item t="default"/>
      </items>
    </pivotField>
    <pivotField showAll="0"/>
    <pivotField axis="axisRow" showAll="0">
      <items count="4">
        <item x="1"/>
        <item x="0"/>
        <item x="2"/>
        <item t="default"/>
      </items>
    </pivotField>
    <pivotField showAll="0"/>
    <pivotField dataField="1" numFmtId="165" showAll="0"/>
    <pivotField numFmtId="165" showAll="0"/>
    <pivotField showAll="0"/>
    <pivotField showAll="0">
      <items count="4">
        <item x="0"/>
        <item x="1"/>
        <item x="2"/>
        <item t="default"/>
      </items>
    </pivotField>
  </pivotFields>
  <rowFields count="1">
    <field x="6"/>
  </rowFields>
  <rowItems count="4">
    <i>
      <x/>
    </i>
    <i>
      <x v="1"/>
    </i>
    <i>
      <x v="2"/>
    </i>
    <i t="grand">
      <x/>
    </i>
  </rowItems>
  <colItems count="1">
    <i/>
  </colItems>
  <dataFields count="1">
    <dataField name="Sum of Sales" fld="8" baseField="0" baseItem="0" numFmtId="166"/>
  </dataFields>
  <formats count="1">
    <format dxfId="3">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9C1F8-3CE7-4037-928C-0AA426AF95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22" firstHeaderRow="1" firstDataRow="1" firstDataCol="1"/>
  <pivotFields count="12">
    <pivotField showAll="0"/>
    <pivotField numFmtId="164" showAll="0"/>
    <pivotField axis="axisRow" showAll="0">
      <items count="13">
        <item x="0"/>
        <item x="1"/>
        <item x="2"/>
        <item x="3"/>
        <item x="4"/>
        <item x="5"/>
        <item x="6"/>
        <item x="7"/>
        <item x="8"/>
        <item x="9"/>
        <item x="10"/>
        <item x="11"/>
        <item t="default"/>
      </items>
    </pivotField>
    <pivotField showAll="0"/>
    <pivotField showAll="0">
      <items count="7">
        <item x="3"/>
        <item x="4"/>
        <item x="5"/>
        <item x="1"/>
        <item x="0"/>
        <item x="2"/>
        <item t="default"/>
      </items>
    </pivotField>
    <pivotField showAll="0"/>
    <pivotField showAll="0">
      <items count="4">
        <item x="1"/>
        <item x="0"/>
        <item x="2"/>
        <item t="default"/>
      </items>
    </pivotField>
    <pivotField showAll="0"/>
    <pivotField dataField="1" numFmtId="165" showAll="0"/>
    <pivotField numFmtId="165" showAll="0"/>
    <pivotField showAll="0"/>
    <pivotField showAll="0">
      <items count="4">
        <item x="0"/>
        <item x="1"/>
        <item x="2"/>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166"/>
  </dataFields>
  <formats count="1">
    <format dxfId="6">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520510-8D50-4878-89C7-36B8FA83D2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dataField="1" showAll="0"/>
    <pivotField numFmtId="164" showAll="0"/>
    <pivotField showAll="0">
      <items count="13">
        <item x="0"/>
        <item x="1"/>
        <item x="2"/>
        <item x="3"/>
        <item x="4"/>
        <item x="5"/>
        <item x="6"/>
        <item x="7"/>
        <item x="8"/>
        <item x="9"/>
        <item x="10"/>
        <item x="11"/>
        <item t="default"/>
      </items>
    </pivotField>
    <pivotField showAll="0"/>
    <pivotField showAll="0">
      <items count="7">
        <item x="3"/>
        <item x="4"/>
        <item x="5"/>
        <item x="1"/>
        <item x="0"/>
        <item x="2"/>
        <item t="default"/>
      </items>
    </pivotField>
    <pivotField showAll="0"/>
    <pivotField showAll="0">
      <items count="4">
        <item x="1"/>
        <item x="0"/>
        <item x="2"/>
        <item t="default"/>
      </items>
    </pivotField>
    <pivotField showAll="0"/>
    <pivotField dataField="1" numFmtId="165" showAll="0"/>
    <pivotField dataField="1" numFmtId="165" showAll="0"/>
    <pivotField dataField="1" showAll="0"/>
    <pivotField showAll="0">
      <items count="4">
        <item x="0"/>
        <item x="1"/>
        <item x="2"/>
        <item t="default"/>
      </items>
    </pivotField>
  </pivotFields>
  <rowItems count="1">
    <i/>
  </rowItems>
  <colFields count="1">
    <field x="-2"/>
  </colFields>
  <colItems count="4">
    <i>
      <x/>
    </i>
    <i i="1">
      <x v="1"/>
    </i>
    <i i="2">
      <x v="2"/>
    </i>
    <i i="3">
      <x v="3"/>
    </i>
  </colItems>
  <dataFields count="4">
    <dataField name="Sum of Sales" fld="8" baseField="0" baseItem="0" numFmtId="166"/>
    <dataField name="Sum of Profit" fld="9" baseField="0" baseItem="0" numFmtId="167"/>
    <dataField name="Count of Order ID" fld="0" subtotal="count" baseField="0" baseItem="0"/>
    <dataField name="Sum of Quantity" fld="10" baseField="0" baseItem="0"/>
  </dataFields>
  <formats count="2">
    <format dxfId="4">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53F256-1655-4C3B-BAB5-63ED81BB364C}" sourceName="Month">
  <pivotTables>
    <pivotTable tabId="2" name="PivotTable2"/>
    <pivotTable tabId="2" name="PivotTable1"/>
    <pivotTable tabId="2" name="PivotTable3"/>
    <pivotTable tabId="2" name="PivotTable4"/>
    <pivotTable tabId="2" name="PivotTable5"/>
    <pivotTable tabId="2" name="PivotTable6"/>
  </pivotTables>
  <data>
    <tabular pivotCacheId="141847211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8A92EF-B0BD-4F1C-9E67-94B972CE3BB2}" sourceName="Category">
  <pivotTables>
    <pivotTable tabId="2" name="PivotTable2"/>
    <pivotTable tabId="2" name="PivotTable1"/>
    <pivotTable tabId="2" name="PivotTable3"/>
    <pivotTable tabId="2" name="PivotTable4"/>
    <pivotTable tabId="2" name="PivotTable5"/>
    <pivotTable tabId="2" name="PivotTable6"/>
  </pivotTables>
  <data>
    <tabular pivotCacheId="141847211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67C46C7-98DD-4AEF-9E7A-E194C59E8666}" sourceName="Segment">
  <pivotTables>
    <pivotTable tabId="2" name="PivotTable2"/>
    <pivotTable tabId="2" name="PivotTable1"/>
    <pivotTable tabId="2" name="PivotTable3"/>
    <pivotTable tabId="2" name="PivotTable4"/>
    <pivotTable tabId="2" name="PivotTable5"/>
    <pivotTable tabId="2" name="PivotTable6"/>
  </pivotTables>
  <data>
    <tabular pivotCacheId="141847211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8F97925-0466-4F94-B22B-656B5BE6E753}" sourceName="State">
  <pivotTables>
    <pivotTable tabId="2" name="PivotTable2"/>
    <pivotTable tabId="2" name="PivotTable1"/>
    <pivotTable tabId="2" name="PivotTable3"/>
    <pivotTable tabId="2" name="PivotTable4"/>
    <pivotTable tabId="2" name="PivotTable5"/>
    <pivotTable tabId="2" name="PivotTable6"/>
  </pivotTables>
  <data>
    <tabular pivotCacheId="1418472114">
      <items count="6">
        <i x="3" s="1"/>
        <i x="4" s="1"/>
        <i x="5"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9B077EF-1933-41BC-83F8-9FF718B8566A}" cache="Slicer_Month" caption="Month" rowHeight="234950"/>
  <slicer name="Category" xr10:uid="{DB6CD8E0-6BD2-4FF4-84F1-DEF3DCA55B95}" cache="Slicer_Category" caption="Category" startItem="1" rowHeight="234950"/>
  <slicer name="Segment" xr10:uid="{A95B0461-9F20-4A8B-9455-8EAF7CD5BFFD}" cache="Slicer_Segment" caption="Segment" rowHeight="234950"/>
  <slicer name="State" xr10:uid="{B53C1857-4EFE-47AF-8D8D-FB8B7A4736D8}"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561D50F-D789-4F14-B5D1-973BFE087D84}" cache="Slicer_Month" caption="Month" style="Slicer Style 1" rowHeight="234950"/>
  <slicer name="Category 1" xr10:uid="{16C6C111-447C-490C-9BB3-20D238EC5D78}" cache="Slicer_Category" caption="Category" style="Slicer Style 1" rowHeight="234950"/>
  <slicer name="Segment 1" xr10:uid="{6D516208-4D4C-4124-911E-0525441AF5F5}" cache="Slicer_Segment" caption="Segment" style="Slicer Style 1" rowHeight="234950"/>
  <slicer name="State 1" xr10:uid="{0F47462F-EC75-48FB-BEA5-0091EDB8AF76}" cache="Slicer_State" caption="State"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9F3312-4047-419C-B1AC-D45A036F449F}" name="Table1" displayName="Table1" ref="A1:L201" totalsRowShown="0">
  <autoFilter ref="A1:L201" xr:uid="{F89F3312-4047-419C-B1AC-D45A036F449F}"/>
  <sortState xmlns:xlrd2="http://schemas.microsoft.com/office/spreadsheetml/2017/richdata2" ref="A2:L201">
    <sortCondition ref="B1:B201"/>
  </sortState>
  <tableColumns count="12">
    <tableColumn id="1" xr3:uid="{7000D4A7-E464-4022-ADB6-D354B88B1BF5}" name="Order ID"/>
    <tableColumn id="2" xr3:uid="{F484E0E5-346B-4472-AB75-044E221BDDBC}" name="Order Date" dataDxfId="10"/>
    <tableColumn id="12" xr3:uid="{84DB6F34-BD17-4528-8A44-D58EF1C7A0FC}" name="Month" dataDxfId="9">
      <calculatedColumnFormula>TEXT(Table1[[#This Row],[Order Date]],"mmm")</calculatedColumnFormula>
    </tableColumn>
    <tableColumn id="3" xr3:uid="{0C57F119-D849-45F6-A39F-5F044E9A689B}" name="Customer"/>
    <tableColumn id="4" xr3:uid="{429137D1-FD38-427C-B441-B579A8B0731F}" name="State"/>
    <tableColumn id="5" xr3:uid="{EDDC4FFF-CBBA-4239-9377-C4D04952E485}" name="City"/>
    <tableColumn id="6" xr3:uid="{F93E9A7F-B0AC-49C9-A345-568528AAA64B}" name="Category"/>
    <tableColumn id="7" xr3:uid="{CB00322D-0C07-4504-9B48-820DA34BF7BE}" name="Sub Category"/>
    <tableColumn id="8" xr3:uid="{D2370F0F-70D8-44DF-9E40-C7528D2DAA26}" name="Sales" dataDxfId="8"/>
    <tableColumn id="9" xr3:uid="{AA9BDD2B-4022-4D72-968A-A3EDBA6D185E}" name="Profit" dataDxfId="7"/>
    <tableColumn id="10" xr3:uid="{08F91807-01C0-43F2-A8A1-3C9FE01E47B2}" name="Quantity"/>
    <tableColumn id="11" xr3:uid="{18DA184F-F0E9-4876-BBB4-05D642585876}" name="Segment"/>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topLeftCell="A31" workbookViewId="0">
      <selection activeCell="J57" sqref="J57"/>
    </sheetView>
  </sheetViews>
  <sheetFormatPr defaultRowHeight="14.4" x14ac:dyDescent="0.3"/>
  <cols>
    <col min="1" max="1" width="9.88671875" customWidth="1"/>
    <col min="2" max="2" width="12" customWidth="1"/>
    <col min="3" max="3" width="11" customWidth="1"/>
    <col min="4" max="4" width="11.44140625" bestFit="1" customWidth="1"/>
    <col min="5" max="5" width="10.6640625" bestFit="1" customWidth="1"/>
    <col min="6" max="6" width="13.109375" bestFit="1" customWidth="1"/>
    <col min="7" max="7" width="14.109375" customWidth="1"/>
    <col min="8" max="9" width="10" bestFit="1" customWidth="1"/>
    <col min="10" max="10" width="9" bestFit="1" customWidth="1"/>
    <col min="11" max="12" width="11.33203125" bestFit="1" customWidth="1"/>
  </cols>
  <sheetData>
    <row r="1" spans="1:12" x14ac:dyDescent="0.3">
      <c r="A1" t="s">
        <v>0</v>
      </c>
      <c r="B1" t="s">
        <v>1</v>
      </c>
      <c r="C1" t="s">
        <v>271</v>
      </c>
      <c r="D1" t="s">
        <v>2</v>
      </c>
      <c r="E1" t="s">
        <v>3</v>
      </c>
      <c r="F1" t="s">
        <v>4</v>
      </c>
      <c r="G1" t="s">
        <v>5</v>
      </c>
      <c r="H1" t="s">
        <v>6</v>
      </c>
      <c r="I1" t="s">
        <v>7</v>
      </c>
      <c r="J1" t="s">
        <v>8</v>
      </c>
      <c r="K1" t="s">
        <v>9</v>
      </c>
      <c r="L1" t="s">
        <v>10</v>
      </c>
    </row>
    <row r="2" spans="1:12" x14ac:dyDescent="0.3">
      <c r="A2" t="s">
        <v>122</v>
      </c>
      <c r="B2" s="1">
        <v>45658</v>
      </c>
      <c r="C2" s="1" t="str">
        <f>TEXT(Table1[[#This Row],[Order Date]],"mmm")</f>
        <v>Jan</v>
      </c>
      <c r="D2" t="s">
        <v>123</v>
      </c>
      <c r="E2" t="s">
        <v>13</v>
      </c>
      <c r="F2" t="s">
        <v>14</v>
      </c>
      <c r="G2" t="s">
        <v>27</v>
      </c>
      <c r="H2" t="s">
        <v>28</v>
      </c>
      <c r="I2" s="2">
        <v>10783.38</v>
      </c>
      <c r="J2" s="2">
        <v>1424.28</v>
      </c>
      <c r="K2">
        <v>7</v>
      </c>
      <c r="L2" t="s">
        <v>17</v>
      </c>
    </row>
    <row r="3" spans="1:12" x14ac:dyDescent="0.3">
      <c r="A3" t="s">
        <v>236</v>
      </c>
      <c r="B3" s="1">
        <v>45660</v>
      </c>
      <c r="C3" s="1" t="str">
        <f>TEXT(Table1[[#This Row],[Order Date]],"mmm")</f>
        <v>Jan</v>
      </c>
      <c r="D3" t="s">
        <v>54</v>
      </c>
      <c r="E3" t="s">
        <v>13</v>
      </c>
      <c r="F3" t="s">
        <v>14</v>
      </c>
      <c r="G3" t="s">
        <v>51</v>
      </c>
      <c r="H3" t="s">
        <v>52</v>
      </c>
      <c r="I3" s="2">
        <v>26993.07</v>
      </c>
      <c r="J3" s="2">
        <v>3794.78</v>
      </c>
      <c r="K3">
        <v>2</v>
      </c>
      <c r="L3" t="s">
        <v>22</v>
      </c>
    </row>
    <row r="4" spans="1:12" x14ac:dyDescent="0.3">
      <c r="A4" t="s">
        <v>18</v>
      </c>
      <c r="B4" s="1">
        <v>45665</v>
      </c>
      <c r="C4" s="1" t="str">
        <f>TEXT(Table1[[#This Row],[Order Date]],"mmm")</f>
        <v>Jan</v>
      </c>
      <c r="D4" t="s">
        <v>19</v>
      </c>
      <c r="E4" t="s">
        <v>20</v>
      </c>
      <c r="F4" t="s">
        <v>21</v>
      </c>
      <c r="G4" t="s">
        <v>15</v>
      </c>
      <c r="H4" t="s">
        <v>16</v>
      </c>
      <c r="I4" s="2">
        <v>47229.35</v>
      </c>
      <c r="J4" s="2">
        <v>4894.42</v>
      </c>
      <c r="K4">
        <v>7</v>
      </c>
      <c r="L4" t="s">
        <v>22</v>
      </c>
    </row>
    <row r="5" spans="1:12" x14ac:dyDescent="0.3">
      <c r="A5" t="s">
        <v>133</v>
      </c>
      <c r="B5" s="1">
        <v>45670</v>
      </c>
      <c r="C5" s="1" t="str">
        <f>TEXT(Table1[[#This Row],[Order Date]],"mmm")</f>
        <v>Jan</v>
      </c>
      <c r="D5" t="s">
        <v>50</v>
      </c>
      <c r="E5" t="s">
        <v>13</v>
      </c>
      <c r="F5" t="s">
        <v>14</v>
      </c>
      <c r="G5" t="s">
        <v>15</v>
      </c>
      <c r="H5" t="s">
        <v>39</v>
      </c>
      <c r="I5" s="2">
        <v>49472.03</v>
      </c>
      <c r="J5" s="2">
        <v>11590.51</v>
      </c>
      <c r="K5">
        <v>5</v>
      </c>
      <c r="L5" t="s">
        <v>22</v>
      </c>
    </row>
    <row r="6" spans="1:12" x14ac:dyDescent="0.3">
      <c r="A6" t="s">
        <v>173</v>
      </c>
      <c r="B6" s="1">
        <v>45677</v>
      </c>
      <c r="C6" s="1" t="str">
        <f>TEXT(Table1[[#This Row],[Order Date]],"mmm")</f>
        <v>Jan</v>
      </c>
      <c r="D6" t="s">
        <v>24</v>
      </c>
      <c r="E6" t="s">
        <v>13</v>
      </c>
      <c r="F6" t="s">
        <v>76</v>
      </c>
      <c r="G6" t="s">
        <v>15</v>
      </c>
      <c r="H6" t="s">
        <v>16</v>
      </c>
      <c r="I6" s="2">
        <v>3928.33</v>
      </c>
      <c r="J6" s="2">
        <v>775.48</v>
      </c>
      <c r="K6">
        <v>3</v>
      </c>
      <c r="L6" t="s">
        <v>17</v>
      </c>
    </row>
    <row r="7" spans="1:12" x14ac:dyDescent="0.3">
      <c r="A7" t="s">
        <v>210</v>
      </c>
      <c r="B7" s="1">
        <v>45677</v>
      </c>
      <c r="C7" s="1" t="str">
        <f>TEXT(Table1[[#This Row],[Order Date]],"mmm")</f>
        <v>Jan</v>
      </c>
      <c r="D7" t="s">
        <v>44</v>
      </c>
      <c r="E7" t="s">
        <v>36</v>
      </c>
      <c r="F7" t="s">
        <v>41</v>
      </c>
      <c r="G7" t="s">
        <v>27</v>
      </c>
      <c r="H7" t="s">
        <v>28</v>
      </c>
      <c r="I7" s="2">
        <v>22141.13</v>
      </c>
      <c r="J7" s="2">
        <v>1549.41</v>
      </c>
      <c r="K7">
        <v>4</v>
      </c>
      <c r="L7" t="s">
        <v>22</v>
      </c>
    </row>
    <row r="8" spans="1:12" x14ac:dyDescent="0.3">
      <c r="A8" t="s">
        <v>177</v>
      </c>
      <c r="B8" s="1">
        <v>45678</v>
      </c>
      <c r="C8" s="1" t="str">
        <f>TEXT(Table1[[#This Row],[Order Date]],"mmm")</f>
        <v>Jan</v>
      </c>
      <c r="D8" t="s">
        <v>12</v>
      </c>
      <c r="E8" t="s">
        <v>63</v>
      </c>
      <c r="F8" t="s">
        <v>64</v>
      </c>
      <c r="G8" t="s">
        <v>27</v>
      </c>
      <c r="H8" t="s">
        <v>42</v>
      </c>
      <c r="I8" s="2">
        <v>16733.82</v>
      </c>
      <c r="J8" s="2">
        <v>842.37</v>
      </c>
      <c r="K8">
        <v>7</v>
      </c>
      <c r="L8" t="s">
        <v>17</v>
      </c>
    </row>
    <row r="9" spans="1:12" x14ac:dyDescent="0.3">
      <c r="A9" t="s">
        <v>110</v>
      </c>
      <c r="B9" s="1">
        <v>45683</v>
      </c>
      <c r="C9" s="1" t="str">
        <f>TEXT(Table1[[#This Row],[Order Date]],"mmm")</f>
        <v>Jan</v>
      </c>
      <c r="D9" t="s">
        <v>19</v>
      </c>
      <c r="E9" t="s">
        <v>63</v>
      </c>
      <c r="F9" t="s">
        <v>64</v>
      </c>
      <c r="G9" t="s">
        <v>51</v>
      </c>
      <c r="H9" t="s">
        <v>87</v>
      </c>
      <c r="I9" s="2">
        <v>22974.52</v>
      </c>
      <c r="J9" s="2">
        <v>3373.81</v>
      </c>
      <c r="K9">
        <v>5</v>
      </c>
      <c r="L9" t="s">
        <v>17</v>
      </c>
    </row>
    <row r="10" spans="1:12" x14ac:dyDescent="0.3">
      <c r="A10" t="s">
        <v>163</v>
      </c>
      <c r="B10" s="1">
        <v>45685</v>
      </c>
      <c r="C10" s="1" t="str">
        <f>TEXT(Table1[[#This Row],[Order Date]],"mmm")</f>
        <v>Jan</v>
      </c>
      <c r="D10" t="s">
        <v>12</v>
      </c>
      <c r="E10" t="s">
        <v>45</v>
      </c>
      <c r="F10" t="s">
        <v>46</v>
      </c>
      <c r="G10" t="s">
        <v>51</v>
      </c>
      <c r="H10" t="s">
        <v>52</v>
      </c>
      <c r="I10" s="2">
        <v>43742.89</v>
      </c>
      <c r="J10" s="2">
        <v>7357.51</v>
      </c>
      <c r="K10">
        <v>2</v>
      </c>
      <c r="L10" t="s">
        <v>22</v>
      </c>
    </row>
    <row r="11" spans="1:12" x14ac:dyDescent="0.3">
      <c r="A11" t="s">
        <v>224</v>
      </c>
      <c r="B11" s="1">
        <v>45685</v>
      </c>
      <c r="C11" s="1" t="str">
        <f>TEXT(Table1[[#This Row],[Order Date]],"mmm")</f>
        <v>Jan</v>
      </c>
      <c r="D11" t="s">
        <v>19</v>
      </c>
      <c r="E11" t="s">
        <v>45</v>
      </c>
      <c r="F11" t="s">
        <v>46</v>
      </c>
      <c r="G11" t="s">
        <v>15</v>
      </c>
      <c r="H11" t="s">
        <v>39</v>
      </c>
      <c r="I11" s="2">
        <v>34720.949999999997</v>
      </c>
      <c r="J11" s="2">
        <v>6977.51</v>
      </c>
      <c r="K11">
        <v>4</v>
      </c>
      <c r="L11" t="s">
        <v>17</v>
      </c>
    </row>
    <row r="12" spans="1:12" x14ac:dyDescent="0.3">
      <c r="A12" t="s">
        <v>231</v>
      </c>
      <c r="B12" s="1">
        <v>45687</v>
      </c>
      <c r="C12" s="1" t="str">
        <f>TEXT(Table1[[#This Row],[Order Date]],"mmm")</f>
        <v>Jan</v>
      </c>
      <c r="D12" t="s">
        <v>71</v>
      </c>
      <c r="E12" t="s">
        <v>25</v>
      </c>
      <c r="F12" t="s">
        <v>58</v>
      </c>
      <c r="G12" t="s">
        <v>51</v>
      </c>
      <c r="H12" t="s">
        <v>52</v>
      </c>
      <c r="I12" s="2">
        <v>18613.919999999998</v>
      </c>
      <c r="J12" s="2">
        <v>3856.96</v>
      </c>
      <c r="K12">
        <v>8</v>
      </c>
      <c r="L12" t="s">
        <v>17</v>
      </c>
    </row>
    <row r="13" spans="1:12" x14ac:dyDescent="0.3">
      <c r="A13" t="s">
        <v>234</v>
      </c>
      <c r="B13" s="1">
        <v>45688</v>
      </c>
      <c r="C13" s="1" t="str">
        <f>TEXT(Table1[[#This Row],[Order Date]],"mmm")</f>
        <v>Jan</v>
      </c>
      <c r="D13" t="s">
        <v>123</v>
      </c>
      <c r="E13" t="s">
        <v>45</v>
      </c>
      <c r="F13" t="s">
        <v>46</v>
      </c>
      <c r="G13" t="s">
        <v>15</v>
      </c>
      <c r="H13" t="s">
        <v>39</v>
      </c>
      <c r="I13" s="2">
        <v>2536.4899999999998</v>
      </c>
      <c r="J13" s="2">
        <v>194.13</v>
      </c>
      <c r="K13">
        <v>5</v>
      </c>
      <c r="L13" t="s">
        <v>29</v>
      </c>
    </row>
    <row r="14" spans="1:12" x14ac:dyDescent="0.3">
      <c r="A14" t="s">
        <v>86</v>
      </c>
      <c r="B14" s="1">
        <v>45691</v>
      </c>
      <c r="C14" s="1" t="str">
        <f>TEXT(Table1[[#This Row],[Order Date]],"mmm")</f>
        <v>Feb</v>
      </c>
      <c r="D14" t="s">
        <v>24</v>
      </c>
      <c r="E14" t="s">
        <v>36</v>
      </c>
      <c r="F14" t="s">
        <v>41</v>
      </c>
      <c r="G14" t="s">
        <v>51</v>
      </c>
      <c r="H14" t="s">
        <v>87</v>
      </c>
      <c r="I14" s="2">
        <v>18390.689999999999</v>
      </c>
      <c r="J14" s="2">
        <v>1935.12</v>
      </c>
      <c r="K14">
        <v>7</v>
      </c>
      <c r="L14" t="s">
        <v>29</v>
      </c>
    </row>
    <row r="15" spans="1:12" x14ac:dyDescent="0.3">
      <c r="A15" t="s">
        <v>114</v>
      </c>
      <c r="B15" s="1">
        <v>45691</v>
      </c>
      <c r="C15" s="1" t="str">
        <f>TEXT(Table1[[#This Row],[Order Date]],"mmm")</f>
        <v>Feb</v>
      </c>
      <c r="D15" t="s">
        <v>44</v>
      </c>
      <c r="E15" t="s">
        <v>20</v>
      </c>
      <c r="F15" t="s">
        <v>21</v>
      </c>
      <c r="G15" t="s">
        <v>15</v>
      </c>
      <c r="H15" t="s">
        <v>33</v>
      </c>
      <c r="I15" s="2">
        <v>15198.26</v>
      </c>
      <c r="J15" s="2">
        <v>3056.83</v>
      </c>
      <c r="K15">
        <v>1</v>
      </c>
      <c r="L15" t="s">
        <v>22</v>
      </c>
    </row>
    <row r="16" spans="1:12" x14ac:dyDescent="0.3">
      <c r="A16" t="s">
        <v>11</v>
      </c>
      <c r="B16" s="1">
        <v>45692</v>
      </c>
      <c r="C16" s="1" t="str">
        <f>TEXT(Table1[[#This Row],[Order Date]],"mmm")</f>
        <v>Feb</v>
      </c>
      <c r="D16" t="s">
        <v>12</v>
      </c>
      <c r="E16" t="s">
        <v>13</v>
      </c>
      <c r="F16" t="s">
        <v>14</v>
      </c>
      <c r="G16" t="s">
        <v>15</v>
      </c>
      <c r="H16" t="s">
        <v>16</v>
      </c>
      <c r="I16" s="2">
        <v>32710.29</v>
      </c>
      <c r="J16" s="2">
        <v>5138.29</v>
      </c>
      <c r="K16">
        <v>2</v>
      </c>
      <c r="L16" t="s">
        <v>17</v>
      </c>
    </row>
    <row r="17" spans="1:12" x14ac:dyDescent="0.3">
      <c r="A17" t="s">
        <v>83</v>
      </c>
      <c r="B17" s="1">
        <v>45692</v>
      </c>
      <c r="C17" s="1" t="str">
        <f>TEXT(Table1[[#This Row],[Order Date]],"mmm")</f>
        <v>Feb</v>
      </c>
      <c r="D17" t="s">
        <v>62</v>
      </c>
      <c r="E17" t="s">
        <v>63</v>
      </c>
      <c r="F17" t="s">
        <v>64</v>
      </c>
      <c r="G17" t="s">
        <v>15</v>
      </c>
      <c r="H17" t="s">
        <v>39</v>
      </c>
      <c r="I17" s="2">
        <v>6195.43</v>
      </c>
      <c r="J17" s="2">
        <v>1030.8</v>
      </c>
      <c r="K17">
        <v>10</v>
      </c>
      <c r="L17" t="s">
        <v>17</v>
      </c>
    </row>
    <row r="18" spans="1:12" x14ac:dyDescent="0.3">
      <c r="A18" t="s">
        <v>213</v>
      </c>
      <c r="B18" s="1">
        <v>45694</v>
      </c>
      <c r="C18" s="1" t="str">
        <f>TEXT(Table1[[#This Row],[Order Date]],"mmm")</f>
        <v>Feb</v>
      </c>
      <c r="D18" t="s">
        <v>71</v>
      </c>
      <c r="E18" t="s">
        <v>20</v>
      </c>
      <c r="F18" t="s">
        <v>32</v>
      </c>
      <c r="G18" t="s">
        <v>51</v>
      </c>
      <c r="H18" t="s">
        <v>52</v>
      </c>
      <c r="I18" s="2">
        <v>24188.11</v>
      </c>
      <c r="J18" s="2">
        <v>4810.58</v>
      </c>
      <c r="K18">
        <v>2</v>
      </c>
      <c r="L18" t="s">
        <v>17</v>
      </c>
    </row>
    <row r="19" spans="1:12" x14ac:dyDescent="0.3">
      <c r="A19" t="s">
        <v>261</v>
      </c>
      <c r="B19" s="1">
        <v>45696</v>
      </c>
      <c r="C19" s="1" t="str">
        <f>TEXT(Table1[[#This Row],[Order Date]],"mmm")</f>
        <v>Feb</v>
      </c>
      <c r="D19" t="s">
        <v>56</v>
      </c>
      <c r="E19" t="s">
        <v>45</v>
      </c>
      <c r="F19" t="s">
        <v>46</v>
      </c>
      <c r="G19" t="s">
        <v>51</v>
      </c>
      <c r="H19" t="s">
        <v>65</v>
      </c>
      <c r="I19" s="2">
        <v>15826.31</v>
      </c>
      <c r="J19" s="2">
        <v>2961.72</v>
      </c>
      <c r="K19">
        <v>4</v>
      </c>
      <c r="L19" t="s">
        <v>17</v>
      </c>
    </row>
    <row r="20" spans="1:12" x14ac:dyDescent="0.3">
      <c r="A20" t="s">
        <v>167</v>
      </c>
      <c r="B20" s="1">
        <v>45698</v>
      </c>
      <c r="C20" s="1" t="str">
        <f>TEXT(Table1[[#This Row],[Order Date]],"mmm")</f>
        <v>Feb</v>
      </c>
      <c r="D20" t="s">
        <v>74</v>
      </c>
      <c r="E20" t="s">
        <v>63</v>
      </c>
      <c r="F20" t="s">
        <v>64</v>
      </c>
      <c r="G20" t="s">
        <v>27</v>
      </c>
      <c r="H20" t="s">
        <v>72</v>
      </c>
      <c r="I20" s="2">
        <v>42499.79</v>
      </c>
      <c r="J20" s="2">
        <v>3985.15</v>
      </c>
      <c r="K20">
        <v>5</v>
      </c>
      <c r="L20" t="s">
        <v>17</v>
      </c>
    </row>
    <row r="21" spans="1:12" x14ac:dyDescent="0.3">
      <c r="A21" t="s">
        <v>196</v>
      </c>
      <c r="B21" s="1">
        <v>45701</v>
      </c>
      <c r="C21" s="1" t="str">
        <f>TEXT(Table1[[#This Row],[Order Date]],"mmm")</f>
        <v>Feb</v>
      </c>
      <c r="D21" t="s">
        <v>48</v>
      </c>
      <c r="E21" t="s">
        <v>20</v>
      </c>
      <c r="F21" t="s">
        <v>32</v>
      </c>
      <c r="G21" t="s">
        <v>27</v>
      </c>
      <c r="H21" t="s">
        <v>28</v>
      </c>
      <c r="I21" s="2">
        <v>25305.72</v>
      </c>
      <c r="J21" s="2">
        <v>5680.86</v>
      </c>
      <c r="K21">
        <v>10</v>
      </c>
      <c r="L21" t="s">
        <v>17</v>
      </c>
    </row>
    <row r="22" spans="1:12" x14ac:dyDescent="0.3">
      <c r="A22" t="s">
        <v>190</v>
      </c>
      <c r="B22" s="1">
        <v>45705</v>
      </c>
      <c r="C22" s="1" t="str">
        <f>TEXT(Table1[[#This Row],[Order Date]],"mmm")</f>
        <v>Feb</v>
      </c>
      <c r="D22" t="s">
        <v>24</v>
      </c>
      <c r="E22" t="s">
        <v>63</v>
      </c>
      <c r="F22" t="s">
        <v>64</v>
      </c>
      <c r="G22" t="s">
        <v>51</v>
      </c>
      <c r="H22" t="s">
        <v>52</v>
      </c>
      <c r="I22" s="2">
        <v>43062.01</v>
      </c>
      <c r="J22" s="2">
        <v>5259.22</v>
      </c>
      <c r="K22">
        <v>5</v>
      </c>
      <c r="L22" t="s">
        <v>22</v>
      </c>
    </row>
    <row r="23" spans="1:12" x14ac:dyDescent="0.3">
      <c r="A23" t="s">
        <v>43</v>
      </c>
      <c r="B23" s="1">
        <v>45706</v>
      </c>
      <c r="C23" s="1" t="str">
        <f>TEXT(Table1[[#This Row],[Order Date]],"mmm")</f>
        <v>Feb</v>
      </c>
      <c r="D23" t="s">
        <v>44</v>
      </c>
      <c r="E23" t="s">
        <v>45</v>
      </c>
      <c r="F23" t="s">
        <v>46</v>
      </c>
      <c r="G23" t="s">
        <v>15</v>
      </c>
      <c r="H23" t="s">
        <v>16</v>
      </c>
      <c r="I23" s="2">
        <v>23715.82</v>
      </c>
      <c r="J23" s="2">
        <v>5141.92</v>
      </c>
      <c r="K23">
        <v>10</v>
      </c>
      <c r="L23" t="s">
        <v>17</v>
      </c>
    </row>
    <row r="24" spans="1:12" x14ac:dyDescent="0.3">
      <c r="A24" t="s">
        <v>186</v>
      </c>
      <c r="B24" s="1">
        <v>45707</v>
      </c>
      <c r="C24" s="1" t="str">
        <f>TEXT(Table1[[#This Row],[Order Date]],"mmm")</f>
        <v>Feb</v>
      </c>
      <c r="D24" t="s">
        <v>98</v>
      </c>
      <c r="E24" t="s">
        <v>25</v>
      </c>
      <c r="F24" t="s">
        <v>58</v>
      </c>
      <c r="G24" t="s">
        <v>27</v>
      </c>
      <c r="H24" t="s">
        <v>72</v>
      </c>
      <c r="I24" s="2">
        <v>41919.9</v>
      </c>
      <c r="J24" s="2">
        <v>9807.69</v>
      </c>
      <c r="K24">
        <v>8</v>
      </c>
      <c r="L24" t="s">
        <v>17</v>
      </c>
    </row>
    <row r="25" spans="1:12" x14ac:dyDescent="0.3">
      <c r="A25" t="s">
        <v>157</v>
      </c>
      <c r="B25" s="1">
        <v>45711</v>
      </c>
      <c r="C25" s="1" t="str">
        <f>TEXT(Table1[[#This Row],[Order Date]],"mmm")</f>
        <v>Feb</v>
      </c>
      <c r="D25" t="s">
        <v>71</v>
      </c>
      <c r="E25" t="s">
        <v>36</v>
      </c>
      <c r="F25" t="s">
        <v>37</v>
      </c>
      <c r="G25" t="s">
        <v>51</v>
      </c>
      <c r="H25" t="s">
        <v>65</v>
      </c>
      <c r="I25" s="2">
        <v>43883.86</v>
      </c>
      <c r="J25" s="2">
        <v>6395.72</v>
      </c>
      <c r="K25">
        <v>6</v>
      </c>
      <c r="L25" t="s">
        <v>29</v>
      </c>
    </row>
    <row r="26" spans="1:12" x14ac:dyDescent="0.3">
      <c r="A26" t="s">
        <v>57</v>
      </c>
      <c r="B26" s="1">
        <v>45714</v>
      </c>
      <c r="C26" s="1" t="str">
        <f>TEXT(Table1[[#This Row],[Order Date]],"mmm")</f>
        <v>Feb</v>
      </c>
      <c r="D26" t="s">
        <v>19</v>
      </c>
      <c r="E26" t="s">
        <v>25</v>
      </c>
      <c r="F26" t="s">
        <v>58</v>
      </c>
      <c r="G26" t="s">
        <v>15</v>
      </c>
      <c r="H26" t="s">
        <v>39</v>
      </c>
      <c r="I26" s="2">
        <v>19728.990000000002</v>
      </c>
      <c r="J26" s="2">
        <v>2154.4899999999998</v>
      </c>
      <c r="K26">
        <v>10</v>
      </c>
      <c r="L26" t="s">
        <v>17</v>
      </c>
    </row>
    <row r="27" spans="1:12" x14ac:dyDescent="0.3">
      <c r="A27" t="s">
        <v>160</v>
      </c>
      <c r="B27" s="1">
        <v>45714</v>
      </c>
      <c r="C27" s="1" t="str">
        <f>TEXT(Table1[[#This Row],[Order Date]],"mmm")</f>
        <v>Feb</v>
      </c>
      <c r="D27" t="s">
        <v>54</v>
      </c>
      <c r="E27" t="s">
        <v>36</v>
      </c>
      <c r="F27" t="s">
        <v>37</v>
      </c>
      <c r="G27" t="s">
        <v>27</v>
      </c>
      <c r="H27" t="s">
        <v>72</v>
      </c>
      <c r="I27" s="2">
        <v>31295.5</v>
      </c>
      <c r="J27" s="2">
        <v>5224.24</v>
      </c>
      <c r="K27">
        <v>1</v>
      </c>
      <c r="L27" t="s">
        <v>29</v>
      </c>
    </row>
    <row r="28" spans="1:12" x14ac:dyDescent="0.3">
      <c r="A28" t="s">
        <v>101</v>
      </c>
      <c r="B28" s="1">
        <v>45717</v>
      </c>
      <c r="C28" s="1" t="str">
        <f>TEXT(Table1[[#This Row],[Order Date]],"mmm")</f>
        <v>Mar</v>
      </c>
      <c r="D28" t="s">
        <v>68</v>
      </c>
      <c r="E28" t="s">
        <v>13</v>
      </c>
      <c r="F28" t="s">
        <v>76</v>
      </c>
      <c r="G28" t="s">
        <v>15</v>
      </c>
      <c r="H28" t="s">
        <v>16</v>
      </c>
      <c r="I28" s="2">
        <v>19265.38</v>
      </c>
      <c r="J28" s="2">
        <v>3395.35</v>
      </c>
      <c r="K28">
        <v>9</v>
      </c>
      <c r="L28" t="s">
        <v>29</v>
      </c>
    </row>
    <row r="29" spans="1:12" x14ac:dyDescent="0.3">
      <c r="A29" t="s">
        <v>226</v>
      </c>
      <c r="B29" s="1">
        <v>45720</v>
      </c>
      <c r="C29" s="1" t="str">
        <f>TEXT(Table1[[#This Row],[Order Date]],"mmm")</f>
        <v>Mar</v>
      </c>
      <c r="D29" t="s">
        <v>68</v>
      </c>
      <c r="E29" t="s">
        <v>36</v>
      </c>
      <c r="F29" t="s">
        <v>41</v>
      </c>
      <c r="G29" t="s">
        <v>15</v>
      </c>
      <c r="H29" t="s">
        <v>16</v>
      </c>
      <c r="I29" s="2">
        <v>15490.54</v>
      </c>
      <c r="J29" s="2">
        <v>1957.15</v>
      </c>
      <c r="K29">
        <v>3</v>
      </c>
      <c r="L29" t="s">
        <v>17</v>
      </c>
    </row>
    <row r="30" spans="1:12" x14ac:dyDescent="0.3">
      <c r="A30" t="s">
        <v>258</v>
      </c>
      <c r="B30" s="1">
        <v>45723</v>
      </c>
      <c r="C30" s="1" t="str">
        <f>TEXT(Table1[[#This Row],[Order Date]],"mmm")</f>
        <v>Mar</v>
      </c>
      <c r="D30" t="s">
        <v>56</v>
      </c>
      <c r="E30" t="s">
        <v>45</v>
      </c>
      <c r="F30" t="s">
        <v>46</v>
      </c>
      <c r="G30" t="s">
        <v>27</v>
      </c>
      <c r="H30" t="s">
        <v>42</v>
      </c>
      <c r="I30" s="2">
        <v>44770.57</v>
      </c>
      <c r="J30" s="2">
        <v>6160.98</v>
      </c>
      <c r="K30">
        <v>4</v>
      </c>
      <c r="L30" t="s">
        <v>22</v>
      </c>
    </row>
    <row r="31" spans="1:12" x14ac:dyDescent="0.3">
      <c r="A31" t="s">
        <v>55</v>
      </c>
      <c r="B31" s="1">
        <v>45724</v>
      </c>
      <c r="C31" s="1" t="str">
        <f>TEXT(Table1[[#This Row],[Order Date]],"mmm")</f>
        <v>Mar</v>
      </c>
      <c r="D31" t="s">
        <v>56</v>
      </c>
      <c r="E31" t="s">
        <v>36</v>
      </c>
      <c r="F31" t="s">
        <v>37</v>
      </c>
      <c r="G31" t="s">
        <v>15</v>
      </c>
      <c r="H31" t="s">
        <v>16</v>
      </c>
      <c r="I31" s="2">
        <v>23715.56</v>
      </c>
      <c r="J31" s="2">
        <v>4796.16</v>
      </c>
      <c r="K31">
        <v>9</v>
      </c>
      <c r="L31" t="s">
        <v>22</v>
      </c>
    </row>
    <row r="32" spans="1:12" x14ac:dyDescent="0.3">
      <c r="A32" t="s">
        <v>106</v>
      </c>
      <c r="B32" s="1">
        <v>45724</v>
      </c>
      <c r="C32" s="1" t="str">
        <f>TEXT(Table1[[#This Row],[Order Date]],"mmm")</f>
        <v>Mar</v>
      </c>
      <c r="D32" t="s">
        <v>71</v>
      </c>
      <c r="E32" t="s">
        <v>25</v>
      </c>
      <c r="F32" t="s">
        <v>58</v>
      </c>
      <c r="G32" t="s">
        <v>51</v>
      </c>
      <c r="H32" t="s">
        <v>65</v>
      </c>
      <c r="I32" s="2">
        <v>35469.339999999997</v>
      </c>
      <c r="J32" s="2">
        <v>3011.11</v>
      </c>
      <c r="K32">
        <v>10</v>
      </c>
      <c r="L32" t="s">
        <v>17</v>
      </c>
    </row>
    <row r="33" spans="1:12" x14ac:dyDescent="0.3">
      <c r="A33" t="s">
        <v>220</v>
      </c>
      <c r="B33" s="1">
        <v>45724</v>
      </c>
      <c r="C33" s="1" t="str">
        <f>TEXT(Table1[[#This Row],[Order Date]],"mmm")</f>
        <v>Mar</v>
      </c>
      <c r="D33" t="s">
        <v>159</v>
      </c>
      <c r="E33" t="s">
        <v>36</v>
      </c>
      <c r="F33" t="s">
        <v>41</v>
      </c>
      <c r="G33" t="s">
        <v>15</v>
      </c>
      <c r="H33" t="s">
        <v>39</v>
      </c>
      <c r="I33" s="2">
        <v>25419.03</v>
      </c>
      <c r="J33" s="2">
        <v>6210.73</v>
      </c>
      <c r="K33">
        <v>5</v>
      </c>
      <c r="L33" t="s">
        <v>22</v>
      </c>
    </row>
    <row r="34" spans="1:12" x14ac:dyDescent="0.3">
      <c r="A34" t="s">
        <v>235</v>
      </c>
      <c r="B34" s="1">
        <v>45724</v>
      </c>
      <c r="C34" s="1" t="str">
        <f>TEXT(Table1[[#This Row],[Order Date]],"mmm")</f>
        <v>Mar</v>
      </c>
      <c r="D34" t="s">
        <v>89</v>
      </c>
      <c r="E34" t="s">
        <v>20</v>
      </c>
      <c r="F34" t="s">
        <v>32</v>
      </c>
      <c r="G34" t="s">
        <v>27</v>
      </c>
      <c r="H34" t="s">
        <v>42</v>
      </c>
      <c r="I34" s="2">
        <v>36084.33</v>
      </c>
      <c r="J34" s="2">
        <v>3374.43</v>
      </c>
      <c r="K34">
        <v>6</v>
      </c>
      <c r="L34" t="s">
        <v>17</v>
      </c>
    </row>
    <row r="35" spans="1:12" x14ac:dyDescent="0.3">
      <c r="A35" t="s">
        <v>99</v>
      </c>
      <c r="B35" s="1">
        <v>45726</v>
      </c>
      <c r="C35" s="1" t="str">
        <f>TEXT(Table1[[#This Row],[Order Date]],"mmm")</f>
        <v>Mar</v>
      </c>
      <c r="D35" t="s">
        <v>62</v>
      </c>
      <c r="E35" t="s">
        <v>45</v>
      </c>
      <c r="F35" t="s">
        <v>60</v>
      </c>
      <c r="G35" t="s">
        <v>15</v>
      </c>
      <c r="H35" t="s">
        <v>39</v>
      </c>
      <c r="I35" s="2">
        <v>40644.980000000003</v>
      </c>
      <c r="J35" s="2">
        <v>6774.99</v>
      </c>
      <c r="K35">
        <v>7</v>
      </c>
      <c r="L35" t="s">
        <v>22</v>
      </c>
    </row>
    <row r="36" spans="1:12" x14ac:dyDescent="0.3">
      <c r="A36" t="s">
        <v>169</v>
      </c>
      <c r="B36" s="1">
        <v>45729</v>
      </c>
      <c r="C36" s="1" t="str">
        <f>TEXT(Table1[[#This Row],[Order Date]],"mmm")</f>
        <v>Mar</v>
      </c>
      <c r="D36" t="s">
        <v>56</v>
      </c>
      <c r="E36" t="s">
        <v>63</v>
      </c>
      <c r="F36" t="s">
        <v>64</v>
      </c>
      <c r="G36" t="s">
        <v>15</v>
      </c>
      <c r="H36" t="s">
        <v>39</v>
      </c>
      <c r="I36" s="2">
        <v>47371.06</v>
      </c>
      <c r="J36" s="2">
        <v>6910.21</v>
      </c>
      <c r="K36">
        <v>6</v>
      </c>
      <c r="L36" t="s">
        <v>17</v>
      </c>
    </row>
    <row r="37" spans="1:12" x14ac:dyDescent="0.3">
      <c r="A37" t="s">
        <v>135</v>
      </c>
      <c r="B37" s="1">
        <v>45731</v>
      </c>
      <c r="C37" s="1" t="str">
        <f>TEXT(Table1[[#This Row],[Order Date]],"mmm")</f>
        <v>Mar</v>
      </c>
      <c r="D37" t="s">
        <v>89</v>
      </c>
      <c r="E37" t="s">
        <v>25</v>
      </c>
      <c r="F37" t="s">
        <v>26</v>
      </c>
      <c r="G37" t="s">
        <v>51</v>
      </c>
      <c r="H37" t="s">
        <v>52</v>
      </c>
      <c r="I37" s="2">
        <v>22282.13</v>
      </c>
      <c r="J37" s="2">
        <v>1397.5</v>
      </c>
      <c r="K37">
        <v>10</v>
      </c>
      <c r="L37" t="s">
        <v>22</v>
      </c>
    </row>
    <row r="38" spans="1:12" x14ac:dyDescent="0.3">
      <c r="A38" t="s">
        <v>241</v>
      </c>
      <c r="B38" s="1">
        <v>45734</v>
      </c>
      <c r="C38" s="1" t="str">
        <f>TEXT(Table1[[#This Row],[Order Date]],"mmm")</f>
        <v>Mar</v>
      </c>
      <c r="D38" t="s">
        <v>35</v>
      </c>
      <c r="E38" t="s">
        <v>25</v>
      </c>
      <c r="F38" t="s">
        <v>58</v>
      </c>
      <c r="G38" t="s">
        <v>51</v>
      </c>
      <c r="H38" t="s">
        <v>52</v>
      </c>
      <c r="I38" s="2">
        <v>34664.559999999998</v>
      </c>
      <c r="J38" s="2">
        <v>4125.3500000000004</v>
      </c>
      <c r="K38">
        <v>1</v>
      </c>
      <c r="L38" t="s">
        <v>22</v>
      </c>
    </row>
    <row r="39" spans="1:12" x14ac:dyDescent="0.3">
      <c r="A39" t="s">
        <v>242</v>
      </c>
      <c r="B39" s="1">
        <v>45735</v>
      </c>
      <c r="C39" s="1" t="str">
        <f>TEXT(Table1[[#This Row],[Order Date]],"mmm")</f>
        <v>Mar</v>
      </c>
      <c r="D39" t="s">
        <v>50</v>
      </c>
      <c r="E39" t="s">
        <v>45</v>
      </c>
      <c r="F39" t="s">
        <v>60</v>
      </c>
      <c r="G39" t="s">
        <v>51</v>
      </c>
      <c r="H39" t="s">
        <v>65</v>
      </c>
      <c r="I39" s="2">
        <v>49233.15</v>
      </c>
      <c r="J39" s="2">
        <v>7939.03</v>
      </c>
      <c r="K39">
        <v>10</v>
      </c>
      <c r="L39" t="s">
        <v>29</v>
      </c>
    </row>
    <row r="40" spans="1:12" x14ac:dyDescent="0.3">
      <c r="A40" t="s">
        <v>255</v>
      </c>
      <c r="B40" s="1">
        <v>45736</v>
      </c>
      <c r="C40" s="1" t="str">
        <f>TEXT(Table1[[#This Row],[Order Date]],"mmm")</f>
        <v>Mar</v>
      </c>
      <c r="D40" t="s">
        <v>71</v>
      </c>
      <c r="E40" t="s">
        <v>45</v>
      </c>
      <c r="F40" t="s">
        <v>60</v>
      </c>
      <c r="G40" t="s">
        <v>51</v>
      </c>
      <c r="H40" t="s">
        <v>87</v>
      </c>
      <c r="I40" s="2">
        <v>29442.05</v>
      </c>
      <c r="J40" s="2">
        <v>4756.88</v>
      </c>
      <c r="K40">
        <v>6</v>
      </c>
      <c r="L40" t="s">
        <v>29</v>
      </c>
    </row>
    <row r="41" spans="1:12" x14ac:dyDescent="0.3">
      <c r="A41" t="s">
        <v>92</v>
      </c>
      <c r="B41" s="1">
        <v>45737</v>
      </c>
      <c r="C41" s="1" t="str">
        <f>TEXT(Table1[[#This Row],[Order Date]],"mmm")</f>
        <v>Mar</v>
      </c>
      <c r="D41" t="s">
        <v>44</v>
      </c>
      <c r="E41" t="s">
        <v>25</v>
      </c>
      <c r="F41" t="s">
        <v>26</v>
      </c>
      <c r="G41" t="s">
        <v>15</v>
      </c>
      <c r="H41" t="s">
        <v>16</v>
      </c>
      <c r="I41" s="2">
        <v>22903.96</v>
      </c>
      <c r="J41" s="2">
        <v>2406.2399999999998</v>
      </c>
      <c r="K41">
        <v>3</v>
      </c>
      <c r="L41" t="s">
        <v>22</v>
      </c>
    </row>
    <row r="42" spans="1:12" x14ac:dyDescent="0.3">
      <c r="A42" t="s">
        <v>108</v>
      </c>
      <c r="B42" s="1">
        <v>45742</v>
      </c>
      <c r="C42" s="1" t="str">
        <f>TEXT(Table1[[#This Row],[Order Date]],"mmm")</f>
        <v>Mar</v>
      </c>
      <c r="D42" t="s">
        <v>98</v>
      </c>
      <c r="E42" t="s">
        <v>20</v>
      </c>
      <c r="F42" t="s">
        <v>21</v>
      </c>
      <c r="G42" t="s">
        <v>27</v>
      </c>
      <c r="H42" t="s">
        <v>28</v>
      </c>
      <c r="I42" s="2">
        <v>10405.82</v>
      </c>
      <c r="J42" s="2">
        <v>1401.93</v>
      </c>
      <c r="K42">
        <v>2</v>
      </c>
      <c r="L42" t="s">
        <v>22</v>
      </c>
    </row>
    <row r="43" spans="1:12" x14ac:dyDescent="0.3">
      <c r="A43" t="s">
        <v>147</v>
      </c>
      <c r="B43" s="1">
        <v>45742</v>
      </c>
      <c r="C43" s="1" t="str">
        <f>TEXT(Table1[[#This Row],[Order Date]],"mmm")</f>
        <v>Mar</v>
      </c>
      <c r="D43" t="s">
        <v>74</v>
      </c>
      <c r="E43" t="s">
        <v>13</v>
      </c>
      <c r="F43" t="s">
        <v>14</v>
      </c>
      <c r="G43" t="s">
        <v>27</v>
      </c>
      <c r="H43" t="s">
        <v>42</v>
      </c>
      <c r="I43" s="2">
        <v>18515.849999999999</v>
      </c>
      <c r="J43" s="2">
        <v>4155.33</v>
      </c>
      <c r="K43">
        <v>2</v>
      </c>
      <c r="L43" t="s">
        <v>17</v>
      </c>
    </row>
    <row r="44" spans="1:12" x14ac:dyDescent="0.3">
      <c r="A44" t="s">
        <v>80</v>
      </c>
      <c r="B44" s="1">
        <v>45752</v>
      </c>
      <c r="C44" s="1" t="str">
        <f>TEXT(Table1[[#This Row],[Order Date]],"mmm")</f>
        <v>Apr</v>
      </c>
      <c r="D44" t="s">
        <v>81</v>
      </c>
      <c r="E44" t="s">
        <v>36</v>
      </c>
      <c r="F44" t="s">
        <v>37</v>
      </c>
      <c r="G44" t="s">
        <v>27</v>
      </c>
      <c r="H44" t="s">
        <v>28</v>
      </c>
      <c r="I44" s="2">
        <v>14915.33</v>
      </c>
      <c r="J44" s="2">
        <v>976.67</v>
      </c>
      <c r="K44">
        <v>4</v>
      </c>
      <c r="L44" t="s">
        <v>17</v>
      </c>
    </row>
    <row r="45" spans="1:12" x14ac:dyDescent="0.3">
      <c r="A45" t="s">
        <v>171</v>
      </c>
      <c r="B45" s="1">
        <v>45752</v>
      </c>
      <c r="C45" s="1" t="str">
        <f>TEXT(Table1[[#This Row],[Order Date]],"mmm")</f>
        <v>Apr</v>
      </c>
      <c r="D45" t="s">
        <v>12</v>
      </c>
      <c r="E45" t="s">
        <v>20</v>
      </c>
      <c r="F45" t="s">
        <v>32</v>
      </c>
      <c r="G45" t="s">
        <v>51</v>
      </c>
      <c r="H45" t="s">
        <v>65</v>
      </c>
      <c r="I45" s="2">
        <v>28269.59</v>
      </c>
      <c r="J45" s="2">
        <v>1624.17</v>
      </c>
      <c r="K45">
        <v>3</v>
      </c>
      <c r="L45" t="s">
        <v>29</v>
      </c>
    </row>
    <row r="46" spans="1:12" x14ac:dyDescent="0.3">
      <c r="A46" t="s">
        <v>142</v>
      </c>
      <c r="B46" s="1">
        <v>45753</v>
      </c>
      <c r="C46" s="1" t="str">
        <f>TEXT(Table1[[#This Row],[Order Date]],"mmm")</f>
        <v>Apr</v>
      </c>
      <c r="D46" t="s">
        <v>44</v>
      </c>
      <c r="E46" t="s">
        <v>45</v>
      </c>
      <c r="F46" t="s">
        <v>60</v>
      </c>
      <c r="G46" t="s">
        <v>15</v>
      </c>
      <c r="H46" t="s">
        <v>33</v>
      </c>
      <c r="I46" s="2">
        <v>40664.300000000003</v>
      </c>
      <c r="J46" s="2">
        <v>6201.38</v>
      </c>
      <c r="K46">
        <v>8</v>
      </c>
      <c r="L46" t="s">
        <v>22</v>
      </c>
    </row>
    <row r="47" spans="1:12" x14ac:dyDescent="0.3">
      <c r="A47" t="s">
        <v>23</v>
      </c>
      <c r="B47" s="1">
        <v>45754</v>
      </c>
      <c r="C47" s="1" t="str">
        <f>TEXT(Table1[[#This Row],[Order Date]],"mmm")</f>
        <v>Apr</v>
      </c>
      <c r="D47" t="s">
        <v>24</v>
      </c>
      <c r="E47" t="s">
        <v>25</v>
      </c>
      <c r="F47" t="s">
        <v>26</v>
      </c>
      <c r="G47" t="s">
        <v>27</v>
      </c>
      <c r="H47" t="s">
        <v>28</v>
      </c>
      <c r="I47" s="2">
        <v>45921.29</v>
      </c>
      <c r="J47" s="2">
        <v>8058.41</v>
      </c>
      <c r="K47">
        <v>10</v>
      </c>
      <c r="L47" t="s">
        <v>29</v>
      </c>
    </row>
    <row r="48" spans="1:12" x14ac:dyDescent="0.3">
      <c r="A48" t="s">
        <v>239</v>
      </c>
      <c r="B48" s="1">
        <v>45754</v>
      </c>
      <c r="C48" s="1" t="str">
        <f>TEXT(Table1[[#This Row],[Order Date]],"mmm")</f>
        <v>Apr</v>
      </c>
      <c r="D48" t="s">
        <v>74</v>
      </c>
      <c r="E48" t="s">
        <v>13</v>
      </c>
      <c r="F48" t="s">
        <v>76</v>
      </c>
      <c r="G48" t="s">
        <v>27</v>
      </c>
      <c r="H48" t="s">
        <v>42</v>
      </c>
      <c r="I48" s="2">
        <v>23320.959999999999</v>
      </c>
      <c r="J48" s="2">
        <v>1320.87</v>
      </c>
      <c r="K48">
        <v>2</v>
      </c>
      <c r="L48" t="s">
        <v>22</v>
      </c>
    </row>
    <row r="49" spans="1:12" x14ac:dyDescent="0.3">
      <c r="A49" t="s">
        <v>49</v>
      </c>
      <c r="B49" s="1">
        <v>45755</v>
      </c>
      <c r="C49" s="1" t="str">
        <f>TEXT(Table1[[#This Row],[Order Date]],"mmm")</f>
        <v>Apr</v>
      </c>
      <c r="D49" t="s">
        <v>50</v>
      </c>
      <c r="E49" t="s">
        <v>13</v>
      </c>
      <c r="F49" t="s">
        <v>14</v>
      </c>
      <c r="G49" t="s">
        <v>51</v>
      </c>
      <c r="H49" t="s">
        <v>52</v>
      </c>
      <c r="I49" s="2">
        <v>14632.83</v>
      </c>
      <c r="J49" s="2">
        <v>764.93</v>
      </c>
      <c r="K49">
        <v>1</v>
      </c>
      <c r="L49" t="s">
        <v>22</v>
      </c>
    </row>
    <row r="50" spans="1:12" x14ac:dyDescent="0.3">
      <c r="A50" t="s">
        <v>117</v>
      </c>
      <c r="B50" s="1">
        <v>45755</v>
      </c>
      <c r="C50" s="1" t="str">
        <f>TEXT(Table1[[#This Row],[Order Date]],"mmm")</f>
        <v>Apr</v>
      </c>
      <c r="D50" t="s">
        <v>74</v>
      </c>
      <c r="E50" t="s">
        <v>36</v>
      </c>
      <c r="F50" t="s">
        <v>41</v>
      </c>
      <c r="G50" t="s">
        <v>51</v>
      </c>
      <c r="H50" t="s">
        <v>87</v>
      </c>
      <c r="I50" s="2">
        <v>26933.65</v>
      </c>
      <c r="J50" s="2">
        <v>4637.18</v>
      </c>
      <c r="K50">
        <v>9</v>
      </c>
      <c r="L50" t="s">
        <v>17</v>
      </c>
    </row>
    <row r="51" spans="1:12" x14ac:dyDescent="0.3">
      <c r="A51" t="s">
        <v>222</v>
      </c>
      <c r="B51" s="1">
        <v>45755</v>
      </c>
      <c r="C51" s="1" t="str">
        <f>TEXT(Table1[[#This Row],[Order Date]],"mmm")</f>
        <v>Apr</v>
      </c>
      <c r="D51" t="s">
        <v>123</v>
      </c>
      <c r="E51" t="s">
        <v>20</v>
      </c>
      <c r="F51" t="s">
        <v>21</v>
      </c>
      <c r="G51" t="s">
        <v>15</v>
      </c>
      <c r="H51" t="s">
        <v>33</v>
      </c>
      <c r="I51" s="2">
        <v>24160.03</v>
      </c>
      <c r="J51" s="2">
        <v>2733.08</v>
      </c>
      <c r="K51">
        <v>2</v>
      </c>
      <c r="L51" t="s">
        <v>29</v>
      </c>
    </row>
    <row r="52" spans="1:12" x14ac:dyDescent="0.3">
      <c r="A52" t="s">
        <v>131</v>
      </c>
      <c r="B52" s="1">
        <v>45756</v>
      </c>
      <c r="C52" s="1" t="str">
        <f>TEXT(Table1[[#This Row],[Order Date]],"mmm")</f>
        <v>Apr</v>
      </c>
      <c r="D52" t="s">
        <v>31</v>
      </c>
      <c r="E52" t="s">
        <v>25</v>
      </c>
      <c r="F52" t="s">
        <v>26</v>
      </c>
      <c r="G52" t="s">
        <v>51</v>
      </c>
      <c r="H52" t="s">
        <v>87</v>
      </c>
      <c r="I52" s="2">
        <v>24020.69</v>
      </c>
      <c r="J52" s="2">
        <v>3780.95</v>
      </c>
      <c r="K52">
        <v>3</v>
      </c>
      <c r="L52" t="s">
        <v>22</v>
      </c>
    </row>
    <row r="53" spans="1:12" x14ac:dyDescent="0.3">
      <c r="A53" t="s">
        <v>182</v>
      </c>
      <c r="B53" s="1">
        <v>45758</v>
      </c>
      <c r="C53" s="1" t="str">
        <f>TEXT(Table1[[#This Row],[Order Date]],"mmm")</f>
        <v>Apr</v>
      </c>
      <c r="D53" t="s">
        <v>123</v>
      </c>
      <c r="E53" t="s">
        <v>20</v>
      </c>
      <c r="F53" t="s">
        <v>21</v>
      </c>
      <c r="G53" t="s">
        <v>27</v>
      </c>
      <c r="H53" t="s">
        <v>28</v>
      </c>
      <c r="I53" s="2">
        <v>24140.92</v>
      </c>
      <c r="J53" s="2">
        <v>4080.28</v>
      </c>
      <c r="K53">
        <v>2</v>
      </c>
      <c r="L53" t="s">
        <v>17</v>
      </c>
    </row>
    <row r="54" spans="1:12" x14ac:dyDescent="0.3">
      <c r="A54" t="s">
        <v>40</v>
      </c>
      <c r="B54" s="1">
        <v>45760</v>
      </c>
      <c r="C54" s="1" t="str">
        <f>TEXT(Table1[[#This Row],[Order Date]],"mmm")</f>
        <v>Apr</v>
      </c>
      <c r="D54" t="s">
        <v>35</v>
      </c>
      <c r="E54" t="s">
        <v>36</v>
      </c>
      <c r="F54" t="s">
        <v>41</v>
      </c>
      <c r="G54" t="s">
        <v>27</v>
      </c>
      <c r="H54" t="s">
        <v>42</v>
      </c>
      <c r="I54" s="2">
        <v>42558.89</v>
      </c>
      <c r="J54" s="2">
        <v>2729.14</v>
      </c>
      <c r="K54">
        <v>6</v>
      </c>
      <c r="L54" t="s">
        <v>22</v>
      </c>
    </row>
    <row r="55" spans="1:12" x14ac:dyDescent="0.3">
      <c r="A55" t="s">
        <v>82</v>
      </c>
      <c r="B55" s="1">
        <v>45761</v>
      </c>
      <c r="C55" s="1" t="str">
        <f>TEXT(Table1[[#This Row],[Order Date]],"mmm")</f>
        <v>Apr</v>
      </c>
      <c r="D55" t="s">
        <v>71</v>
      </c>
      <c r="E55" t="s">
        <v>20</v>
      </c>
      <c r="F55" t="s">
        <v>32</v>
      </c>
      <c r="G55" t="s">
        <v>27</v>
      </c>
      <c r="H55" t="s">
        <v>72</v>
      </c>
      <c r="I55" s="2">
        <v>39614.85</v>
      </c>
      <c r="J55" s="2">
        <v>3438.39</v>
      </c>
      <c r="K55">
        <v>4</v>
      </c>
      <c r="L55" t="s">
        <v>29</v>
      </c>
    </row>
    <row r="56" spans="1:12" x14ac:dyDescent="0.3">
      <c r="A56" t="s">
        <v>221</v>
      </c>
      <c r="B56" s="1">
        <v>45761</v>
      </c>
      <c r="C56" s="1" t="str">
        <f>TEXT(Table1[[#This Row],[Order Date]],"mmm")</f>
        <v>Apr</v>
      </c>
      <c r="D56" t="s">
        <v>91</v>
      </c>
      <c r="E56" t="s">
        <v>45</v>
      </c>
      <c r="F56" t="s">
        <v>46</v>
      </c>
      <c r="G56" t="s">
        <v>15</v>
      </c>
      <c r="H56" t="s">
        <v>33</v>
      </c>
      <c r="I56" s="2">
        <v>17275.28</v>
      </c>
      <c r="J56" s="2">
        <v>1218.83</v>
      </c>
      <c r="K56">
        <v>8</v>
      </c>
      <c r="L56" t="s">
        <v>17</v>
      </c>
    </row>
    <row r="57" spans="1:12" x14ac:dyDescent="0.3">
      <c r="A57" t="s">
        <v>247</v>
      </c>
      <c r="B57" s="1">
        <v>45766</v>
      </c>
      <c r="C57" s="1" t="str">
        <f>TEXT(Table1[[#This Row],[Order Date]],"mmm")</f>
        <v>Apr</v>
      </c>
      <c r="D57" t="s">
        <v>24</v>
      </c>
      <c r="E57" t="s">
        <v>45</v>
      </c>
      <c r="F57" t="s">
        <v>46</v>
      </c>
      <c r="G57" t="s">
        <v>15</v>
      </c>
      <c r="H57" t="s">
        <v>39</v>
      </c>
      <c r="I57" s="2">
        <v>47539.94</v>
      </c>
      <c r="J57" s="2">
        <v>10048.629999999999</v>
      </c>
      <c r="K57">
        <v>3</v>
      </c>
      <c r="L57" t="s">
        <v>22</v>
      </c>
    </row>
    <row r="58" spans="1:12" x14ac:dyDescent="0.3">
      <c r="A58" t="s">
        <v>143</v>
      </c>
      <c r="B58" s="1">
        <v>45767</v>
      </c>
      <c r="C58" s="1" t="str">
        <f>TEXT(Table1[[#This Row],[Order Date]],"mmm")</f>
        <v>Apr</v>
      </c>
      <c r="D58" t="s">
        <v>54</v>
      </c>
      <c r="E58" t="s">
        <v>45</v>
      </c>
      <c r="F58" t="s">
        <v>46</v>
      </c>
      <c r="G58" t="s">
        <v>15</v>
      </c>
      <c r="H58" t="s">
        <v>39</v>
      </c>
      <c r="I58" s="2">
        <v>15417.96</v>
      </c>
      <c r="J58" s="2">
        <v>3369.26</v>
      </c>
      <c r="K58">
        <v>1</v>
      </c>
      <c r="L58" t="s">
        <v>29</v>
      </c>
    </row>
    <row r="59" spans="1:12" x14ac:dyDescent="0.3">
      <c r="A59" t="s">
        <v>178</v>
      </c>
      <c r="B59" s="1">
        <v>45767</v>
      </c>
      <c r="C59" s="1" t="str">
        <f>TEXT(Table1[[#This Row],[Order Date]],"mmm")</f>
        <v>Apr</v>
      </c>
      <c r="D59" t="s">
        <v>62</v>
      </c>
      <c r="E59" t="s">
        <v>63</v>
      </c>
      <c r="F59" t="s">
        <v>64</v>
      </c>
      <c r="G59" t="s">
        <v>15</v>
      </c>
      <c r="H59" t="s">
        <v>39</v>
      </c>
      <c r="I59" s="2">
        <v>30587.52</v>
      </c>
      <c r="J59" s="2">
        <v>5677.43</v>
      </c>
      <c r="K59">
        <v>1</v>
      </c>
      <c r="L59" t="s">
        <v>17</v>
      </c>
    </row>
    <row r="60" spans="1:12" x14ac:dyDescent="0.3">
      <c r="A60" t="s">
        <v>189</v>
      </c>
      <c r="B60" s="1">
        <v>45768</v>
      </c>
      <c r="C60" s="1" t="str">
        <f>TEXT(Table1[[#This Row],[Order Date]],"mmm")</f>
        <v>Apr</v>
      </c>
      <c r="D60" t="s">
        <v>12</v>
      </c>
      <c r="E60" t="s">
        <v>25</v>
      </c>
      <c r="F60" t="s">
        <v>58</v>
      </c>
      <c r="G60" t="s">
        <v>15</v>
      </c>
      <c r="H60" t="s">
        <v>16</v>
      </c>
      <c r="I60" s="2">
        <v>6822.45</v>
      </c>
      <c r="J60" s="2">
        <v>1428.58</v>
      </c>
      <c r="K60">
        <v>5</v>
      </c>
      <c r="L60" t="s">
        <v>29</v>
      </c>
    </row>
    <row r="61" spans="1:12" x14ac:dyDescent="0.3">
      <c r="A61" t="s">
        <v>200</v>
      </c>
      <c r="B61" s="1">
        <v>45768</v>
      </c>
      <c r="C61" s="1" t="str">
        <f>TEXT(Table1[[#This Row],[Order Date]],"mmm")</f>
        <v>Apr</v>
      </c>
      <c r="D61" t="s">
        <v>56</v>
      </c>
      <c r="E61" t="s">
        <v>63</v>
      </c>
      <c r="F61" t="s">
        <v>64</v>
      </c>
      <c r="G61" t="s">
        <v>15</v>
      </c>
      <c r="H61" t="s">
        <v>16</v>
      </c>
      <c r="I61" s="2">
        <v>3599.61</v>
      </c>
      <c r="J61" s="2">
        <v>305.2</v>
      </c>
      <c r="K61">
        <v>3</v>
      </c>
      <c r="L61" t="s">
        <v>17</v>
      </c>
    </row>
    <row r="62" spans="1:12" x14ac:dyDescent="0.3">
      <c r="A62" t="s">
        <v>137</v>
      </c>
      <c r="B62" s="1">
        <v>45770</v>
      </c>
      <c r="C62" s="1" t="str">
        <f>TEXT(Table1[[#This Row],[Order Date]],"mmm")</f>
        <v>Apr</v>
      </c>
      <c r="D62" t="s">
        <v>48</v>
      </c>
      <c r="E62" t="s">
        <v>36</v>
      </c>
      <c r="F62" t="s">
        <v>37</v>
      </c>
      <c r="G62" t="s">
        <v>51</v>
      </c>
      <c r="H62" t="s">
        <v>52</v>
      </c>
      <c r="I62" s="2">
        <v>21360.68</v>
      </c>
      <c r="J62" s="2">
        <v>1254.6099999999999</v>
      </c>
      <c r="K62">
        <v>1</v>
      </c>
      <c r="L62" t="s">
        <v>17</v>
      </c>
    </row>
    <row r="63" spans="1:12" x14ac:dyDescent="0.3">
      <c r="A63" t="s">
        <v>145</v>
      </c>
      <c r="B63" s="1">
        <v>45770</v>
      </c>
      <c r="C63" s="1" t="str">
        <f>TEXT(Table1[[#This Row],[Order Date]],"mmm")</f>
        <v>Apr</v>
      </c>
      <c r="D63" t="s">
        <v>50</v>
      </c>
      <c r="E63" t="s">
        <v>45</v>
      </c>
      <c r="F63" t="s">
        <v>60</v>
      </c>
      <c r="G63" t="s">
        <v>27</v>
      </c>
      <c r="H63" t="s">
        <v>42</v>
      </c>
      <c r="I63" s="2">
        <v>28291.74</v>
      </c>
      <c r="J63" s="2">
        <v>4302.6400000000003</v>
      </c>
      <c r="K63">
        <v>1</v>
      </c>
      <c r="L63" t="s">
        <v>29</v>
      </c>
    </row>
    <row r="64" spans="1:12" x14ac:dyDescent="0.3">
      <c r="A64" t="s">
        <v>206</v>
      </c>
      <c r="B64" s="1">
        <v>45770</v>
      </c>
      <c r="C64" s="1" t="str">
        <f>TEXT(Table1[[#This Row],[Order Date]],"mmm")</f>
        <v>Apr</v>
      </c>
      <c r="D64" t="s">
        <v>31</v>
      </c>
      <c r="E64" t="s">
        <v>36</v>
      </c>
      <c r="F64" t="s">
        <v>41</v>
      </c>
      <c r="G64" t="s">
        <v>15</v>
      </c>
      <c r="H64" t="s">
        <v>39</v>
      </c>
      <c r="I64" s="2">
        <v>38866.49</v>
      </c>
      <c r="J64" s="2">
        <v>2196.4</v>
      </c>
      <c r="K64">
        <v>6</v>
      </c>
      <c r="L64" t="s">
        <v>22</v>
      </c>
    </row>
    <row r="65" spans="1:12" x14ac:dyDescent="0.3">
      <c r="A65" t="s">
        <v>128</v>
      </c>
      <c r="B65" s="1">
        <v>45783</v>
      </c>
      <c r="C65" s="1" t="str">
        <f>TEXT(Table1[[#This Row],[Order Date]],"mmm")</f>
        <v>May</v>
      </c>
      <c r="D65" t="s">
        <v>68</v>
      </c>
      <c r="E65" t="s">
        <v>25</v>
      </c>
      <c r="F65" t="s">
        <v>26</v>
      </c>
      <c r="G65" t="s">
        <v>27</v>
      </c>
      <c r="H65" t="s">
        <v>42</v>
      </c>
      <c r="I65" s="2">
        <v>21798.61</v>
      </c>
      <c r="J65" s="2">
        <v>1867.8</v>
      </c>
      <c r="K65">
        <v>5</v>
      </c>
      <c r="L65" t="s">
        <v>22</v>
      </c>
    </row>
    <row r="66" spans="1:12" x14ac:dyDescent="0.3">
      <c r="A66" t="s">
        <v>96</v>
      </c>
      <c r="B66" s="1">
        <v>45784</v>
      </c>
      <c r="C66" s="1" t="str">
        <f>TEXT(Table1[[#This Row],[Order Date]],"mmm")</f>
        <v>May</v>
      </c>
      <c r="D66" t="s">
        <v>56</v>
      </c>
      <c r="E66" t="s">
        <v>63</v>
      </c>
      <c r="F66" t="s">
        <v>64</v>
      </c>
      <c r="G66" t="s">
        <v>27</v>
      </c>
      <c r="H66" t="s">
        <v>72</v>
      </c>
      <c r="I66" s="2">
        <v>49793.56</v>
      </c>
      <c r="J66" s="2">
        <v>3329.01</v>
      </c>
      <c r="K66">
        <v>4</v>
      </c>
      <c r="L66" t="s">
        <v>29</v>
      </c>
    </row>
    <row r="67" spans="1:12" x14ac:dyDescent="0.3">
      <c r="A67" t="s">
        <v>125</v>
      </c>
      <c r="B67" s="1">
        <v>45787</v>
      </c>
      <c r="C67" s="1" t="str">
        <f>TEXT(Table1[[#This Row],[Order Date]],"mmm")</f>
        <v>May</v>
      </c>
      <c r="D67" t="s">
        <v>54</v>
      </c>
      <c r="E67" t="s">
        <v>45</v>
      </c>
      <c r="F67" t="s">
        <v>60</v>
      </c>
      <c r="G67" t="s">
        <v>15</v>
      </c>
      <c r="H67" t="s">
        <v>33</v>
      </c>
      <c r="I67" s="2">
        <v>35938.089999999997</v>
      </c>
      <c r="J67" s="2">
        <v>3561.01</v>
      </c>
      <c r="K67">
        <v>4</v>
      </c>
      <c r="L67" t="s">
        <v>22</v>
      </c>
    </row>
    <row r="68" spans="1:12" x14ac:dyDescent="0.3">
      <c r="A68" t="s">
        <v>112</v>
      </c>
      <c r="B68" s="1">
        <v>45788</v>
      </c>
      <c r="C68" s="1" t="str">
        <f>TEXT(Table1[[#This Row],[Order Date]],"mmm")</f>
        <v>May</v>
      </c>
      <c r="D68" t="s">
        <v>50</v>
      </c>
      <c r="E68" t="s">
        <v>63</v>
      </c>
      <c r="F68" t="s">
        <v>64</v>
      </c>
      <c r="G68" t="s">
        <v>27</v>
      </c>
      <c r="H68" t="s">
        <v>72</v>
      </c>
      <c r="I68" s="2">
        <v>31297.45</v>
      </c>
      <c r="J68" s="2">
        <v>4816.6400000000003</v>
      </c>
      <c r="K68">
        <v>5</v>
      </c>
      <c r="L68" t="s">
        <v>29</v>
      </c>
    </row>
    <row r="69" spans="1:12" x14ac:dyDescent="0.3">
      <c r="A69" t="s">
        <v>170</v>
      </c>
      <c r="B69" s="1">
        <v>45788</v>
      </c>
      <c r="C69" s="1" t="str">
        <f>TEXT(Table1[[#This Row],[Order Date]],"mmm")</f>
        <v>May</v>
      </c>
      <c r="D69" t="s">
        <v>81</v>
      </c>
      <c r="E69" t="s">
        <v>13</v>
      </c>
      <c r="F69" t="s">
        <v>76</v>
      </c>
      <c r="G69" t="s">
        <v>51</v>
      </c>
      <c r="H69" t="s">
        <v>52</v>
      </c>
      <c r="I69" s="2">
        <v>19711.310000000001</v>
      </c>
      <c r="J69" s="2">
        <v>4377.0200000000004</v>
      </c>
      <c r="K69">
        <v>4</v>
      </c>
      <c r="L69" t="s">
        <v>22</v>
      </c>
    </row>
    <row r="70" spans="1:12" x14ac:dyDescent="0.3">
      <c r="A70" t="s">
        <v>250</v>
      </c>
      <c r="B70" s="1">
        <v>45790</v>
      </c>
      <c r="C70" s="1" t="str">
        <f>TEXT(Table1[[#This Row],[Order Date]],"mmm")</f>
        <v>May</v>
      </c>
      <c r="D70" t="s">
        <v>123</v>
      </c>
      <c r="E70" t="s">
        <v>25</v>
      </c>
      <c r="F70" t="s">
        <v>26</v>
      </c>
      <c r="G70" t="s">
        <v>51</v>
      </c>
      <c r="H70" t="s">
        <v>52</v>
      </c>
      <c r="I70" s="2">
        <v>25248.2</v>
      </c>
      <c r="J70" s="2">
        <v>2641.46</v>
      </c>
      <c r="K70">
        <v>7</v>
      </c>
      <c r="L70" t="s">
        <v>22</v>
      </c>
    </row>
    <row r="71" spans="1:12" x14ac:dyDescent="0.3">
      <c r="A71" t="s">
        <v>139</v>
      </c>
      <c r="B71" s="1">
        <v>45791</v>
      </c>
      <c r="C71" s="1" t="str">
        <f>TEXT(Table1[[#This Row],[Order Date]],"mmm")</f>
        <v>May</v>
      </c>
      <c r="D71" t="s">
        <v>89</v>
      </c>
      <c r="E71" t="s">
        <v>63</v>
      </c>
      <c r="F71" t="s">
        <v>64</v>
      </c>
      <c r="G71" t="s">
        <v>27</v>
      </c>
      <c r="H71" t="s">
        <v>28</v>
      </c>
      <c r="I71" s="2">
        <v>38769.15</v>
      </c>
      <c r="J71" s="2">
        <v>6252.76</v>
      </c>
      <c r="K71">
        <v>3</v>
      </c>
      <c r="L71" t="s">
        <v>29</v>
      </c>
    </row>
    <row r="72" spans="1:12" x14ac:dyDescent="0.3">
      <c r="A72" t="s">
        <v>70</v>
      </c>
      <c r="B72" s="1">
        <v>45794</v>
      </c>
      <c r="C72" s="1" t="str">
        <f>TEXT(Table1[[#This Row],[Order Date]],"mmm")</f>
        <v>May</v>
      </c>
      <c r="D72" t="s">
        <v>71</v>
      </c>
      <c r="E72" t="s">
        <v>45</v>
      </c>
      <c r="F72" t="s">
        <v>60</v>
      </c>
      <c r="G72" t="s">
        <v>27</v>
      </c>
      <c r="H72" t="s">
        <v>72</v>
      </c>
      <c r="I72" s="2">
        <v>3832.61</v>
      </c>
      <c r="J72" s="2">
        <v>244.74</v>
      </c>
      <c r="K72">
        <v>6</v>
      </c>
      <c r="L72" t="s">
        <v>22</v>
      </c>
    </row>
    <row r="73" spans="1:12" x14ac:dyDescent="0.3">
      <c r="A73" t="s">
        <v>144</v>
      </c>
      <c r="B73" s="1">
        <v>45794</v>
      </c>
      <c r="C73" s="1" t="str">
        <f>TEXT(Table1[[#This Row],[Order Date]],"mmm")</f>
        <v>May</v>
      </c>
      <c r="D73" t="s">
        <v>123</v>
      </c>
      <c r="E73" t="s">
        <v>20</v>
      </c>
      <c r="F73" t="s">
        <v>32</v>
      </c>
      <c r="G73" t="s">
        <v>51</v>
      </c>
      <c r="H73" t="s">
        <v>52</v>
      </c>
      <c r="I73" s="2">
        <v>7654.79</v>
      </c>
      <c r="J73" s="2">
        <v>1116.19</v>
      </c>
      <c r="K73">
        <v>7</v>
      </c>
      <c r="L73" t="s">
        <v>22</v>
      </c>
    </row>
    <row r="74" spans="1:12" x14ac:dyDescent="0.3">
      <c r="A74" t="s">
        <v>66</v>
      </c>
      <c r="B74" s="1">
        <v>45795</v>
      </c>
      <c r="C74" s="1" t="str">
        <f>TEXT(Table1[[#This Row],[Order Date]],"mmm")</f>
        <v>May</v>
      </c>
      <c r="D74" t="s">
        <v>31</v>
      </c>
      <c r="E74" t="s">
        <v>36</v>
      </c>
      <c r="F74" t="s">
        <v>41</v>
      </c>
      <c r="G74" t="s">
        <v>15</v>
      </c>
      <c r="H74" t="s">
        <v>16</v>
      </c>
      <c r="I74" s="2">
        <v>36530.51</v>
      </c>
      <c r="J74" s="2">
        <v>6121.62</v>
      </c>
      <c r="K74">
        <v>6</v>
      </c>
      <c r="L74" t="s">
        <v>29</v>
      </c>
    </row>
    <row r="75" spans="1:12" x14ac:dyDescent="0.3">
      <c r="A75" t="s">
        <v>228</v>
      </c>
      <c r="B75" s="1">
        <v>45795</v>
      </c>
      <c r="C75" s="1" t="str">
        <f>TEXT(Table1[[#This Row],[Order Date]],"mmm")</f>
        <v>May</v>
      </c>
      <c r="D75" t="s">
        <v>91</v>
      </c>
      <c r="E75" t="s">
        <v>13</v>
      </c>
      <c r="F75" t="s">
        <v>14</v>
      </c>
      <c r="G75" t="s">
        <v>15</v>
      </c>
      <c r="H75" t="s">
        <v>33</v>
      </c>
      <c r="I75" s="2">
        <v>4601.68</v>
      </c>
      <c r="J75" s="2">
        <v>595.71</v>
      </c>
      <c r="K75">
        <v>6</v>
      </c>
      <c r="L75" t="s">
        <v>29</v>
      </c>
    </row>
    <row r="76" spans="1:12" x14ac:dyDescent="0.3">
      <c r="A76" t="s">
        <v>166</v>
      </c>
      <c r="B76" s="1">
        <v>45796</v>
      </c>
      <c r="C76" s="1" t="str">
        <f>TEXT(Table1[[#This Row],[Order Date]],"mmm")</f>
        <v>May</v>
      </c>
      <c r="D76" t="s">
        <v>31</v>
      </c>
      <c r="E76" t="s">
        <v>36</v>
      </c>
      <c r="F76" t="s">
        <v>41</v>
      </c>
      <c r="G76" t="s">
        <v>15</v>
      </c>
      <c r="H76" t="s">
        <v>39</v>
      </c>
      <c r="I76" s="2">
        <v>13261.08</v>
      </c>
      <c r="J76" s="2">
        <v>1186.21</v>
      </c>
      <c r="K76">
        <v>6</v>
      </c>
      <c r="L76" t="s">
        <v>22</v>
      </c>
    </row>
    <row r="77" spans="1:12" x14ac:dyDescent="0.3">
      <c r="A77" t="s">
        <v>260</v>
      </c>
      <c r="B77" s="1">
        <v>45796</v>
      </c>
      <c r="C77" s="1" t="str">
        <f>TEXT(Table1[[#This Row],[Order Date]],"mmm")</f>
        <v>May</v>
      </c>
      <c r="D77" t="s">
        <v>48</v>
      </c>
      <c r="E77" t="s">
        <v>63</v>
      </c>
      <c r="F77" t="s">
        <v>64</v>
      </c>
      <c r="G77" t="s">
        <v>15</v>
      </c>
      <c r="H77" t="s">
        <v>33</v>
      </c>
      <c r="I77" s="2">
        <v>23793.56</v>
      </c>
      <c r="J77" s="2">
        <v>5046.3</v>
      </c>
      <c r="K77">
        <v>2</v>
      </c>
      <c r="L77" t="s">
        <v>22</v>
      </c>
    </row>
    <row r="78" spans="1:12" x14ac:dyDescent="0.3">
      <c r="A78" t="s">
        <v>207</v>
      </c>
      <c r="B78" s="1">
        <v>45797</v>
      </c>
      <c r="C78" s="1" t="str">
        <f>TEXT(Table1[[#This Row],[Order Date]],"mmm")</f>
        <v>May</v>
      </c>
      <c r="D78" t="s">
        <v>71</v>
      </c>
      <c r="E78" t="s">
        <v>45</v>
      </c>
      <c r="F78" t="s">
        <v>46</v>
      </c>
      <c r="G78" t="s">
        <v>51</v>
      </c>
      <c r="H78" t="s">
        <v>87</v>
      </c>
      <c r="I78" s="2">
        <v>791.58</v>
      </c>
      <c r="J78" s="2">
        <v>166.82</v>
      </c>
      <c r="K78">
        <v>1</v>
      </c>
      <c r="L78" t="s">
        <v>22</v>
      </c>
    </row>
    <row r="79" spans="1:12" x14ac:dyDescent="0.3">
      <c r="A79" t="s">
        <v>136</v>
      </c>
      <c r="B79" s="1">
        <v>45800</v>
      </c>
      <c r="C79" s="1" t="str">
        <f>TEXT(Table1[[#This Row],[Order Date]],"mmm")</f>
        <v>May</v>
      </c>
      <c r="D79" t="s">
        <v>48</v>
      </c>
      <c r="E79" t="s">
        <v>25</v>
      </c>
      <c r="F79" t="s">
        <v>26</v>
      </c>
      <c r="G79" t="s">
        <v>15</v>
      </c>
      <c r="H79" t="s">
        <v>16</v>
      </c>
      <c r="I79" s="2">
        <v>9173.02</v>
      </c>
      <c r="J79" s="2">
        <v>2145.3200000000002</v>
      </c>
      <c r="K79">
        <v>4</v>
      </c>
      <c r="L79" t="s">
        <v>17</v>
      </c>
    </row>
    <row r="80" spans="1:12" x14ac:dyDescent="0.3">
      <c r="A80" t="s">
        <v>216</v>
      </c>
      <c r="B80" s="1">
        <v>45800</v>
      </c>
      <c r="C80" s="1" t="str">
        <f>TEXT(Table1[[#This Row],[Order Date]],"mmm")</f>
        <v>May</v>
      </c>
      <c r="D80" t="s">
        <v>89</v>
      </c>
      <c r="E80" t="s">
        <v>13</v>
      </c>
      <c r="F80" t="s">
        <v>14</v>
      </c>
      <c r="G80" t="s">
        <v>15</v>
      </c>
      <c r="H80" t="s">
        <v>16</v>
      </c>
      <c r="I80" s="2">
        <v>47832.68</v>
      </c>
      <c r="J80" s="2">
        <v>7182.66</v>
      </c>
      <c r="K80">
        <v>6</v>
      </c>
      <c r="L80" t="s">
        <v>17</v>
      </c>
    </row>
    <row r="81" spans="1:12" x14ac:dyDescent="0.3">
      <c r="A81" t="s">
        <v>174</v>
      </c>
      <c r="B81" s="1">
        <v>45809</v>
      </c>
      <c r="C81" s="1" t="str">
        <f>TEXT(Table1[[#This Row],[Order Date]],"mmm")</f>
        <v>Jun</v>
      </c>
      <c r="D81" t="s">
        <v>81</v>
      </c>
      <c r="E81" t="s">
        <v>63</v>
      </c>
      <c r="F81" t="s">
        <v>64</v>
      </c>
      <c r="G81" t="s">
        <v>15</v>
      </c>
      <c r="H81" t="s">
        <v>33</v>
      </c>
      <c r="I81" s="2">
        <v>48853.74</v>
      </c>
      <c r="J81" s="2">
        <v>9271.19</v>
      </c>
      <c r="K81">
        <v>5</v>
      </c>
      <c r="L81" t="s">
        <v>29</v>
      </c>
    </row>
    <row r="82" spans="1:12" x14ac:dyDescent="0.3">
      <c r="A82" t="s">
        <v>202</v>
      </c>
      <c r="B82" s="1">
        <v>45809</v>
      </c>
      <c r="C82" s="1" t="str">
        <f>TEXT(Table1[[#This Row],[Order Date]],"mmm")</f>
        <v>Jun</v>
      </c>
      <c r="D82" t="s">
        <v>44</v>
      </c>
      <c r="E82" t="s">
        <v>25</v>
      </c>
      <c r="F82" t="s">
        <v>26</v>
      </c>
      <c r="G82" t="s">
        <v>27</v>
      </c>
      <c r="H82" t="s">
        <v>28</v>
      </c>
      <c r="I82" s="2">
        <v>41959.43</v>
      </c>
      <c r="J82" s="2">
        <v>7706.48</v>
      </c>
      <c r="K82">
        <v>7</v>
      </c>
      <c r="L82" t="s">
        <v>29</v>
      </c>
    </row>
    <row r="83" spans="1:12" x14ac:dyDescent="0.3">
      <c r="A83" t="s">
        <v>256</v>
      </c>
      <c r="B83" s="1">
        <v>45812</v>
      </c>
      <c r="C83" s="1" t="str">
        <f>TEXT(Table1[[#This Row],[Order Date]],"mmm")</f>
        <v>Jun</v>
      </c>
      <c r="D83" t="s">
        <v>31</v>
      </c>
      <c r="E83" t="s">
        <v>36</v>
      </c>
      <c r="F83" t="s">
        <v>41</v>
      </c>
      <c r="G83" t="s">
        <v>27</v>
      </c>
      <c r="H83" t="s">
        <v>28</v>
      </c>
      <c r="I83" s="2">
        <v>37504.160000000003</v>
      </c>
      <c r="J83" s="2">
        <v>7858.43</v>
      </c>
      <c r="K83">
        <v>1</v>
      </c>
      <c r="L83" t="s">
        <v>29</v>
      </c>
    </row>
    <row r="84" spans="1:12" x14ac:dyDescent="0.3">
      <c r="A84" t="s">
        <v>212</v>
      </c>
      <c r="B84" s="1">
        <v>45817</v>
      </c>
      <c r="C84" s="1" t="str">
        <f>TEXT(Table1[[#This Row],[Order Date]],"mmm")</f>
        <v>Jun</v>
      </c>
      <c r="D84" t="s">
        <v>71</v>
      </c>
      <c r="E84" t="s">
        <v>25</v>
      </c>
      <c r="F84" t="s">
        <v>26</v>
      </c>
      <c r="G84" t="s">
        <v>15</v>
      </c>
      <c r="H84" t="s">
        <v>39</v>
      </c>
      <c r="I84" s="2">
        <v>40860.21</v>
      </c>
      <c r="J84" s="2">
        <v>9917.48</v>
      </c>
      <c r="K84">
        <v>9</v>
      </c>
      <c r="L84" t="s">
        <v>29</v>
      </c>
    </row>
    <row r="85" spans="1:12" x14ac:dyDescent="0.3">
      <c r="A85" t="s">
        <v>225</v>
      </c>
      <c r="B85" s="1">
        <v>45817</v>
      </c>
      <c r="C85" s="1" t="str">
        <f>TEXT(Table1[[#This Row],[Order Date]],"mmm")</f>
        <v>Jun</v>
      </c>
      <c r="D85" t="s">
        <v>71</v>
      </c>
      <c r="E85" t="s">
        <v>20</v>
      </c>
      <c r="F85" t="s">
        <v>21</v>
      </c>
      <c r="G85" t="s">
        <v>51</v>
      </c>
      <c r="H85" t="s">
        <v>52</v>
      </c>
      <c r="I85" s="2">
        <v>25537.58</v>
      </c>
      <c r="J85" s="2">
        <v>1994.84</v>
      </c>
      <c r="K85">
        <v>9</v>
      </c>
      <c r="L85" t="s">
        <v>29</v>
      </c>
    </row>
    <row r="86" spans="1:12" x14ac:dyDescent="0.3">
      <c r="A86" t="s">
        <v>240</v>
      </c>
      <c r="B86" s="1">
        <v>45817</v>
      </c>
      <c r="C86" s="1" t="str">
        <f>TEXT(Table1[[#This Row],[Order Date]],"mmm")</f>
        <v>Jun</v>
      </c>
      <c r="D86" t="s">
        <v>54</v>
      </c>
      <c r="E86" t="s">
        <v>63</v>
      </c>
      <c r="F86" t="s">
        <v>64</v>
      </c>
      <c r="G86" t="s">
        <v>51</v>
      </c>
      <c r="H86" t="s">
        <v>65</v>
      </c>
      <c r="I86" s="2">
        <v>2925.65</v>
      </c>
      <c r="J86" s="2">
        <v>282.91000000000003</v>
      </c>
      <c r="K86">
        <v>4</v>
      </c>
      <c r="L86" t="s">
        <v>17</v>
      </c>
    </row>
    <row r="87" spans="1:12" x14ac:dyDescent="0.3">
      <c r="A87" t="s">
        <v>187</v>
      </c>
      <c r="B87" s="1">
        <v>45819</v>
      </c>
      <c r="C87" s="1" t="str">
        <f>TEXT(Table1[[#This Row],[Order Date]],"mmm")</f>
        <v>Jun</v>
      </c>
      <c r="D87" t="s">
        <v>68</v>
      </c>
      <c r="E87" t="s">
        <v>13</v>
      </c>
      <c r="F87" t="s">
        <v>14</v>
      </c>
      <c r="G87" t="s">
        <v>15</v>
      </c>
      <c r="H87" t="s">
        <v>16</v>
      </c>
      <c r="I87" s="2">
        <v>36826.44</v>
      </c>
      <c r="J87" s="2">
        <v>6360.54</v>
      </c>
      <c r="K87">
        <v>2</v>
      </c>
      <c r="L87" t="s">
        <v>17</v>
      </c>
    </row>
    <row r="88" spans="1:12" x14ac:dyDescent="0.3">
      <c r="A88" t="s">
        <v>238</v>
      </c>
      <c r="B88" s="1">
        <v>45819</v>
      </c>
      <c r="C88" s="1" t="str">
        <f>TEXT(Table1[[#This Row],[Order Date]],"mmm")</f>
        <v>Jun</v>
      </c>
      <c r="D88" t="s">
        <v>48</v>
      </c>
      <c r="E88" t="s">
        <v>13</v>
      </c>
      <c r="F88" t="s">
        <v>14</v>
      </c>
      <c r="G88" t="s">
        <v>51</v>
      </c>
      <c r="H88" t="s">
        <v>52</v>
      </c>
      <c r="I88" s="2">
        <v>27026.14</v>
      </c>
      <c r="J88" s="2">
        <v>5601.57</v>
      </c>
      <c r="K88">
        <v>10</v>
      </c>
      <c r="L88" t="s">
        <v>17</v>
      </c>
    </row>
    <row r="89" spans="1:12" x14ac:dyDescent="0.3">
      <c r="A89" t="s">
        <v>124</v>
      </c>
      <c r="B89" s="1">
        <v>45823</v>
      </c>
      <c r="C89" s="1" t="str">
        <f>TEXT(Table1[[#This Row],[Order Date]],"mmm")</f>
        <v>Jun</v>
      </c>
      <c r="D89" t="s">
        <v>54</v>
      </c>
      <c r="E89" t="s">
        <v>63</v>
      </c>
      <c r="F89" t="s">
        <v>64</v>
      </c>
      <c r="G89" t="s">
        <v>27</v>
      </c>
      <c r="H89" t="s">
        <v>42</v>
      </c>
      <c r="I89" s="2">
        <v>39398.92</v>
      </c>
      <c r="J89" s="2">
        <v>8894.43</v>
      </c>
      <c r="K89">
        <v>10</v>
      </c>
      <c r="L89" t="s">
        <v>22</v>
      </c>
    </row>
    <row r="90" spans="1:12" x14ac:dyDescent="0.3">
      <c r="A90" t="s">
        <v>218</v>
      </c>
      <c r="B90" s="1">
        <v>45824</v>
      </c>
      <c r="C90" s="1" t="str">
        <f>TEXT(Table1[[#This Row],[Order Date]],"mmm")</f>
        <v>Jun</v>
      </c>
      <c r="D90" t="s">
        <v>98</v>
      </c>
      <c r="E90" t="s">
        <v>36</v>
      </c>
      <c r="F90" t="s">
        <v>37</v>
      </c>
      <c r="G90" t="s">
        <v>15</v>
      </c>
      <c r="H90" t="s">
        <v>16</v>
      </c>
      <c r="I90" s="2">
        <v>16200.84</v>
      </c>
      <c r="J90" s="2">
        <v>1197.75</v>
      </c>
      <c r="K90">
        <v>1</v>
      </c>
      <c r="L90" t="s">
        <v>22</v>
      </c>
    </row>
    <row r="91" spans="1:12" x14ac:dyDescent="0.3">
      <c r="A91" t="s">
        <v>61</v>
      </c>
      <c r="B91" s="1">
        <v>45826</v>
      </c>
      <c r="C91" s="1" t="str">
        <f>TEXT(Table1[[#This Row],[Order Date]],"mmm")</f>
        <v>Jun</v>
      </c>
      <c r="D91" t="s">
        <v>62</v>
      </c>
      <c r="E91" t="s">
        <v>63</v>
      </c>
      <c r="F91" t="s">
        <v>64</v>
      </c>
      <c r="G91" t="s">
        <v>51</v>
      </c>
      <c r="H91" t="s">
        <v>65</v>
      </c>
      <c r="I91" s="2">
        <v>566.21</v>
      </c>
      <c r="J91" s="2">
        <v>44.1</v>
      </c>
      <c r="K91">
        <v>3</v>
      </c>
      <c r="L91" t="s">
        <v>17</v>
      </c>
    </row>
    <row r="92" spans="1:12" x14ac:dyDescent="0.3">
      <c r="A92" t="s">
        <v>151</v>
      </c>
      <c r="B92" s="1">
        <v>45827</v>
      </c>
      <c r="C92" s="1" t="str">
        <f>TEXT(Table1[[#This Row],[Order Date]],"mmm")</f>
        <v>Jun</v>
      </c>
      <c r="D92" t="s">
        <v>12</v>
      </c>
      <c r="E92" t="s">
        <v>45</v>
      </c>
      <c r="F92" t="s">
        <v>46</v>
      </c>
      <c r="G92" t="s">
        <v>51</v>
      </c>
      <c r="H92" t="s">
        <v>65</v>
      </c>
      <c r="I92" s="2">
        <v>1590.62</v>
      </c>
      <c r="J92" s="2">
        <v>202.35</v>
      </c>
      <c r="K92">
        <v>8</v>
      </c>
      <c r="L92" t="s">
        <v>29</v>
      </c>
    </row>
    <row r="93" spans="1:12" x14ac:dyDescent="0.3">
      <c r="A93" t="s">
        <v>185</v>
      </c>
      <c r="B93" s="1">
        <v>45839</v>
      </c>
      <c r="C93" s="1" t="str">
        <f>TEXT(Table1[[#This Row],[Order Date]],"mmm")</f>
        <v>Jul</v>
      </c>
      <c r="D93" t="s">
        <v>98</v>
      </c>
      <c r="E93" t="s">
        <v>25</v>
      </c>
      <c r="F93" t="s">
        <v>58</v>
      </c>
      <c r="G93" t="s">
        <v>27</v>
      </c>
      <c r="H93" t="s">
        <v>28</v>
      </c>
      <c r="I93" s="2">
        <v>8272.19</v>
      </c>
      <c r="J93" s="2">
        <v>709.56</v>
      </c>
      <c r="K93">
        <v>1</v>
      </c>
      <c r="L93" t="s">
        <v>17</v>
      </c>
    </row>
    <row r="94" spans="1:12" x14ac:dyDescent="0.3">
      <c r="A94" t="s">
        <v>176</v>
      </c>
      <c r="B94" s="1">
        <v>45844</v>
      </c>
      <c r="C94" s="1" t="str">
        <f>TEXT(Table1[[#This Row],[Order Date]],"mmm")</f>
        <v>Jul</v>
      </c>
      <c r="D94" t="s">
        <v>54</v>
      </c>
      <c r="E94" t="s">
        <v>20</v>
      </c>
      <c r="F94" t="s">
        <v>21</v>
      </c>
      <c r="G94" t="s">
        <v>27</v>
      </c>
      <c r="H94" t="s">
        <v>72</v>
      </c>
      <c r="I94" s="2">
        <v>16128</v>
      </c>
      <c r="J94" s="2">
        <v>940.84</v>
      </c>
      <c r="K94">
        <v>7</v>
      </c>
      <c r="L94" t="s">
        <v>29</v>
      </c>
    </row>
    <row r="95" spans="1:12" x14ac:dyDescent="0.3">
      <c r="A95" t="s">
        <v>120</v>
      </c>
      <c r="B95" s="1">
        <v>45846</v>
      </c>
      <c r="C95" s="1" t="str">
        <f>TEXT(Table1[[#This Row],[Order Date]],"mmm")</f>
        <v>Jul</v>
      </c>
      <c r="D95" t="s">
        <v>24</v>
      </c>
      <c r="E95" t="s">
        <v>20</v>
      </c>
      <c r="F95" t="s">
        <v>21</v>
      </c>
      <c r="G95" t="s">
        <v>15</v>
      </c>
      <c r="H95" t="s">
        <v>33</v>
      </c>
      <c r="I95" s="2">
        <v>6829.52</v>
      </c>
      <c r="J95" s="2">
        <v>1193.03</v>
      </c>
      <c r="K95">
        <v>1</v>
      </c>
      <c r="L95" t="s">
        <v>29</v>
      </c>
    </row>
    <row r="96" spans="1:12" x14ac:dyDescent="0.3">
      <c r="A96" t="s">
        <v>195</v>
      </c>
      <c r="B96" s="1">
        <v>45847</v>
      </c>
      <c r="C96" s="1" t="str">
        <f>TEXT(Table1[[#This Row],[Order Date]],"mmm")</f>
        <v>Jul</v>
      </c>
      <c r="D96" t="s">
        <v>62</v>
      </c>
      <c r="E96" t="s">
        <v>45</v>
      </c>
      <c r="F96" t="s">
        <v>60</v>
      </c>
      <c r="G96" t="s">
        <v>51</v>
      </c>
      <c r="H96" t="s">
        <v>65</v>
      </c>
      <c r="I96" s="2">
        <v>1329.76</v>
      </c>
      <c r="J96" s="2">
        <v>98.39</v>
      </c>
      <c r="K96">
        <v>5</v>
      </c>
      <c r="L96" t="s">
        <v>17</v>
      </c>
    </row>
    <row r="97" spans="1:12" x14ac:dyDescent="0.3">
      <c r="A97" t="s">
        <v>217</v>
      </c>
      <c r="B97" s="1">
        <v>45847</v>
      </c>
      <c r="C97" s="1" t="str">
        <f>TEXT(Table1[[#This Row],[Order Date]],"mmm")</f>
        <v>Jul</v>
      </c>
      <c r="D97" t="s">
        <v>123</v>
      </c>
      <c r="E97" t="s">
        <v>63</v>
      </c>
      <c r="F97" t="s">
        <v>64</v>
      </c>
      <c r="G97" t="s">
        <v>15</v>
      </c>
      <c r="H97" t="s">
        <v>33</v>
      </c>
      <c r="I97" s="2">
        <v>48480.12</v>
      </c>
      <c r="J97" s="2">
        <v>5795.43</v>
      </c>
      <c r="K97">
        <v>2</v>
      </c>
      <c r="L97" t="s">
        <v>29</v>
      </c>
    </row>
    <row r="98" spans="1:12" x14ac:dyDescent="0.3">
      <c r="A98" t="s">
        <v>233</v>
      </c>
      <c r="B98" s="1">
        <v>45847</v>
      </c>
      <c r="C98" s="1" t="str">
        <f>TEXT(Table1[[#This Row],[Order Date]],"mmm")</f>
        <v>Jul</v>
      </c>
      <c r="D98" t="s">
        <v>50</v>
      </c>
      <c r="E98" t="s">
        <v>13</v>
      </c>
      <c r="F98" t="s">
        <v>76</v>
      </c>
      <c r="G98" t="s">
        <v>27</v>
      </c>
      <c r="H98" t="s">
        <v>72</v>
      </c>
      <c r="I98" s="2">
        <v>23037.35</v>
      </c>
      <c r="J98" s="2">
        <v>4364.13</v>
      </c>
      <c r="K98">
        <v>8</v>
      </c>
      <c r="L98" t="s">
        <v>17</v>
      </c>
    </row>
    <row r="99" spans="1:12" x14ac:dyDescent="0.3">
      <c r="A99" t="s">
        <v>85</v>
      </c>
      <c r="B99" s="1">
        <v>45851</v>
      </c>
      <c r="C99" s="1" t="str">
        <f>TEXT(Table1[[#This Row],[Order Date]],"mmm")</f>
        <v>Jul</v>
      </c>
      <c r="D99" t="s">
        <v>19</v>
      </c>
      <c r="E99" t="s">
        <v>45</v>
      </c>
      <c r="F99" t="s">
        <v>60</v>
      </c>
      <c r="G99" t="s">
        <v>51</v>
      </c>
      <c r="H99" t="s">
        <v>65</v>
      </c>
      <c r="I99" s="2">
        <v>39697.19</v>
      </c>
      <c r="J99" s="2">
        <v>6456.97</v>
      </c>
      <c r="K99">
        <v>1</v>
      </c>
      <c r="L99" t="s">
        <v>17</v>
      </c>
    </row>
    <row r="100" spans="1:12" x14ac:dyDescent="0.3">
      <c r="A100" t="s">
        <v>194</v>
      </c>
      <c r="B100" s="1">
        <v>45853</v>
      </c>
      <c r="C100" s="1" t="str">
        <f>TEXT(Table1[[#This Row],[Order Date]],"mmm")</f>
        <v>Jul</v>
      </c>
      <c r="D100" t="s">
        <v>44</v>
      </c>
      <c r="E100" t="s">
        <v>36</v>
      </c>
      <c r="F100" t="s">
        <v>41</v>
      </c>
      <c r="G100" t="s">
        <v>15</v>
      </c>
      <c r="H100" t="s">
        <v>16</v>
      </c>
      <c r="I100" s="2">
        <v>34135.949999999997</v>
      </c>
      <c r="J100" s="2">
        <v>6912.32</v>
      </c>
      <c r="K100">
        <v>5</v>
      </c>
      <c r="L100" t="s">
        <v>17</v>
      </c>
    </row>
    <row r="101" spans="1:12" x14ac:dyDescent="0.3">
      <c r="A101" t="s">
        <v>246</v>
      </c>
      <c r="B101" s="1">
        <v>45853</v>
      </c>
      <c r="C101" s="1" t="str">
        <f>TEXT(Table1[[#This Row],[Order Date]],"mmm")</f>
        <v>Jul</v>
      </c>
      <c r="D101" t="s">
        <v>56</v>
      </c>
      <c r="E101" t="s">
        <v>13</v>
      </c>
      <c r="F101" t="s">
        <v>76</v>
      </c>
      <c r="G101" t="s">
        <v>15</v>
      </c>
      <c r="H101" t="s">
        <v>33</v>
      </c>
      <c r="I101" s="2">
        <v>28800.66</v>
      </c>
      <c r="J101" s="2">
        <v>5697.76</v>
      </c>
      <c r="K101">
        <v>4</v>
      </c>
      <c r="L101" t="s">
        <v>17</v>
      </c>
    </row>
    <row r="102" spans="1:12" x14ac:dyDescent="0.3">
      <c r="A102" t="s">
        <v>183</v>
      </c>
      <c r="B102" s="1">
        <v>45864</v>
      </c>
      <c r="C102" s="1" t="str">
        <f>TEXT(Table1[[#This Row],[Order Date]],"mmm")</f>
        <v>Jul</v>
      </c>
      <c r="D102" t="s">
        <v>19</v>
      </c>
      <c r="E102" t="s">
        <v>63</v>
      </c>
      <c r="F102" t="s">
        <v>64</v>
      </c>
      <c r="G102" t="s">
        <v>51</v>
      </c>
      <c r="H102" t="s">
        <v>87</v>
      </c>
      <c r="I102" s="2">
        <v>9026.44</v>
      </c>
      <c r="J102" s="2">
        <v>1674.59</v>
      </c>
      <c r="K102">
        <v>3</v>
      </c>
      <c r="L102" t="s">
        <v>29</v>
      </c>
    </row>
    <row r="103" spans="1:12" x14ac:dyDescent="0.3">
      <c r="A103" t="s">
        <v>105</v>
      </c>
      <c r="B103" s="1">
        <v>45866</v>
      </c>
      <c r="C103" s="1" t="str">
        <f>TEXT(Table1[[#This Row],[Order Date]],"mmm")</f>
        <v>Jul</v>
      </c>
      <c r="D103" t="s">
        <v>56</v>
      </c>
      <c r="E103" t="s">
        <v>13</v>
      </c>
      <c r="F103" t="s">
        <v>14</v>
      </c>
      <c r="G103" t="s">
        <v>15</v>
      </c>
      <c r="H103" t="s">
        <v>39</v>
      </c>
      <c r="I103" s="2">
        <v>19661.89</v>
      </c>
      <c r="J103" s="2">
        <v>1108.82</v>
      </c>
      <c r="K103">
        <v>3</v>
      </c>
      <c r="L103" t="s">
        <v>17</v>
      </c>
    </row>
    <row r="104" spans="1:12" x14ac:dyDescent="0.3">
      <c r="A104" t="s">
        <v>252</v>
      </c>
      <c r="B104" s="1">
        <v>45869</v>
      </c>
      <c r="C104" s="1" t="str">
        <f>TEXT(Table1[[#This Row],[Order Date]],"mmm")</f>
        <v>Jul</v>
      </c>
      <c r="D104" t="s">
        <v>19</v>
      </c>
      <c r="E104" t="s">
        <v>20</v>
      </c>
      <c r="F104" t="s">
        <v>21</v>
      </c>
      <c r="G104" t="s">
        <v>27</v>
      </c>
      <c r="H104" t="s">
        <v>72</v>
      </c>
      <c r="I104" s="2">
        <v>34487.53</v>
      </c>
      <c r="J104" s="2">
        <v>7991.7</v>
      </c>
      <c r="K104">
        <v>2</v>
      </c>
      <c r="L104" t="s">
        <v>29</v>
      </c>
    </row>
    <row r="105" spans="1:12" x14ac:dyDescent="0.3">
      <c r="A105" t="s">
        <v>79</v>
      </c>
      <c r="B105" s="1">
        <v>45873</v>
      </c>
      <c r="C105" s="1" t="str">
        <f>TEXT(Table1[[#This Row],[Order Date]],"mmm")</f>
        <v>Aug</v>
      </c>
      <c r="D105" t="s">
        <v>19</v>
      </c>
      <c r="E105" t="s">
        <v>20</v>
      </c>
      <c r="F105" t="s">
        <v>32</v>
      </c>
      <c r="G105" t="s">
        <v>15</v>
      </c>
      <c r="H105" t="s">
        <v>33</v>
      </c>
      <c r="I105" s="2">
        <v>12987.19</v>
      </c>
      <c r="J105" s="2">
        <v>1085.1500000000001</v>
      </c>
      <c r="K105">
        <v>8</v>
      </c>
      <c r="L105" t="s">
        <v>22</v>
      </c>
    </row>
    <row r="106" spans="1:12" x14ac:dyDescent="0.3">
      <c r="A106" t="s">
        <v>254</v>
      </c>
      <c r="B106" s="1">
        <v>45874</v>
      </c>
      <c r="C106" s="1" t="str">
        <f>TEXT(Table1[[#This Row],[Order Date]],"mmm")</f>
        <v>Aug</v>
      </c>
      <c r="D106" t="s">
        <v>19</v>
      </c>
      <c r="E106" t="s">
        <v>13</v>
      </c>
      <c r="F106" t="s">
        <v>14</v>
      </c>
      <c r="G106" t="s">
        <v>15</v>
      </c>
      <c r="H106" t="s">
        <v>33</v>
      </c>
      <c r="I106" s="2">
        <v>3747.92</v>
      </c>
      <c r="J106" s="2">
        <v>603.91</v>
      </c>
      <c r="K106">
        <v>8</v>
      </c>
      <c r="L106" t="s">
        <v>29</v>
      </c>
    </row>
    <row r="107" spans="1:12" x14ac:dyDescent="0.3">
      <c r="A107" t="s">
        <v>205</v>
      </c>
      <c r="B107" s="1">
        <v>45875</v>
      </c>
      <c r="C107" s="1" t="str">
        <f>TEXT(Table1[[#This Row],[Order Date]],"mmm")</f>
        <v>Aug</v>
      </c>
      <c r="D107" t="s">
        <v>35</v>
      </c>
      <c r="E107" t="s">
        <v>25</v>
      </c>
      <c r="F107" t="s">
        <v>26</v>
      </c>
      <c r="G107" t="s">
        <v>27</v>
      </c>
      <c r="H107" t="s">
        <v>28</v>
      </c>
      <c r="I107" s="2">
        <v>8901.5499999999993</v>
      </c>
      <c r="J107" s="2">
        <v>916.72</v>
      </c>
      <c r="K107">
        <v>5</v>
      </c>
      <c r="L107" t="s">
        <v>29</v>
      </c>
    </row>
    <row r="108" spans="1:12" x14ac:dyDescent="0.3">
      <c r="A108" t="s">
        <v>243</v>
      </c>
      <c r="B108" s="1">
        <v>45876</v>
      </c>
      <c r="C108" s="1" t="str">
        <f>TEXT(Table1[[#This Row],[Order Date]],"mmm")</f>
        <v>Aug</v>
      </c>
      <c r="D108" t="s">
        <v>48</v>
      </c>
      <c r="E108" t="s">
        <v>63</v>
      </c>
      <c r="F108" t="s">
        <v>64</v>
      </c>
      <c r="G108" t="s">
        <v>27</v>
      </c>
      <c r="H108" t="s">
        <v>72</v>
      </c>
      <c r="I108" s="2">
        <v>11327.93</v>
      </c>
      <c r="J108" s="2">
        <v>2824.97</v>
      </c>
      <c r="K108">
        <v>2</v>
      </c>
      <c r="L108" t="s">
        <v>29</v>
      </c>
    </row>
    <row r="109" spans="1:12" x14ac:dyDescent="0.3">
      <c r="A109" t="s">
        <v>107</v>
      </c>
      <c r="B109" s="1">
        <v>45877</v>
      </c>
      <c r="C109" s="1" t="str">
        <f>TEXT(Table1[[#This Row],[Order Date]],"mmm")</f>
        <v>Aug</v>
      </c>
      <c r="D109" t="s">
        <v>68</v>
      </c>
      <c r="E109" t="s">
        <v>20</v>
      </c>
      <c r="F109" t="s">
        <v>32</v>
      </c>
      <c r="G109" t="s">
        <v>15</v>
      </c>
      <c r="H109" t="s">
        <v>33</v>
      </c>
      <c r="I109" s="2">
        <v>3249.5</v>
      </c>
      <c r="J109" s="2">
        <v>374.38</v>
      </c>
      <c r="K109">
        <v>9</v>
      </c>
      <c r="L109" t="s">
        <v>22</v>
      </c>
    </row>
    <row r="110" spans="1:12" x14ac:dyDescent="0.3">
      <c r="A110" t="s">
        <v>53</v>
      </c>
      <c r="B110" s="1">
        <v>45878</v>
      </c>
      <c r="C110" s="1" t="str">
        <f>TEXT(Table1[[#This Row],[Order Date]],"mmm")</f>
        <v>Aug</v>
      </c>
      <c r="D110" t="s">
        <v>54</v>
      </c>
      <c r="E110" t="s">
        <v>45</v>
      </c>
      <c r="F110" t="s">
        <v>46</v>
      </c>
      <c r="G110" t="s">
        <v>27</v>
      </c>
      <c r="H110" t="s">
        <v>42</v>
      </c>
      <c r="I110" s="2">
        <v>32760.94</v>
      </c>
      <c r="J110" s="2">
        <v>4810.03</v>
      </c>
      <c r="K110">
        <v>7</v>
      </c>
      <c r="L110" t="s">
        <v>22</v>
      </c>
    </row>
    <row r="111" spans="1:12" x14ac:dyDescent="0.3">
      <c r="A111" t="s">
        <v>156</v>
      </c>
      <c r="B111" s="1">
        <v>45878</v>
      </c>
      <c r="C111" s="1" t="str">
        <f>TEXT(Table1[[#This Row],[Order Date]],"mmm")</f>
        <v>Aug</v>
      </c>
      <c r="D111" t="s">
        <v>91</v>
      </c>
      <c r="E111" t="s">
        <v>45</v>
      </c>
      <c r="F111" t="s">
        <v>46</v>
      </c>
      <c r="G111" t="s">
        <v>27</v>
      </c>
      <c r="H111" t="s">
        <v>28</v>
      </c>
      <c r="I111" s="2">
        <v>929.84</v>
      </c>
      <c r="J111" s="2">
        <v>119.49</v>
      </c>
      <c r="K111">
        <v>2</v>
      </c>
      <c r="L111" t="s">
        <v>29</v>
      </c>
    </row>
    <row r="112" spans="1:12" x14ac:dyDescent="0.3">
      <c r="A112" t="s">
        <v>90</v>
      </c>
      <c r="B112" s="1">
        <v>45879</v>
      </c>
      <c r="C112" s="1" t="str">
        <f>TEXT(Table1[[#This Row],[Order Date]],"mmm")</f>
        <v>Aug</v>
      </c>
      <c r="D112" t="s">
        <v>91</v>
      </c>
      <c r="E112" t="s">
        <v>45</v>
      </c>
      <c r="F112" t="s">
        <v>46</v>
      </c>
      <c r="G112" t="s">
        <v>15</v>
      </c>
      <c r="H112" t="s">
        <v>16</v>
      </c>
      <c r="I112" s="2">
        <v>7443.96</v>
      </c>
      <c r="J112" s="2">
        <v>498.72</v>
      </c>
      <c r="K112">
        <v>5</v>
      </c>
      <c r="L112" t="s">
        <v>29</v>
      </c>
    </row>
    <row r="113" spans="1:12" x14ac:dyDescent="0.3">
      <c r="A113" t="s">
        <v>201</v>
      </c>
      <c r="B113" s="1">
        <v>45879</v>
      </c>
      <c r="C113" s="1" t="str">
        <f>TEXT(Table1[[#This Row],[Order Date]],"mmm")</f>
        <v>Aug</v>
      </c>
      <c r="D113" t="s">
        <v>123</v>
      </c>
      <c r="E113" t="s">
        <v>20</v>
      </c>
      <c r="F113" t="s">
        <v>21</v>
      </c>
      <c r="G113" t="s">
        <v>51</v>
      </c>
      <c r="H113" t="s">
        <v>65</v>
      </c>
      <c r="I113" s="2">
        <v>43432.49</v>
      </c>
      <c r="J113" s="2">
        <v>4003.61</v>
      </c>
      <c r="K113">
        <v>7</v>
      </c>
      <c r="L113" t="s">
        <v>17</v>
      </c>
    </row>
    <row r="114" spans="1:12" x14ac:dyDescent="0.3">
      <c r="A114" t="s">
        <v>192</v>
      </c>
      <c r="B114" s="1">
        <v>45880</v>
      </c>
      <c r="C114" s="1" t="str">
        <f>TEXT(Table1[[#This Row],[Order Date]],"mmm")</f>
        <v>Aug</v>
      </c>
      <c r="D114" t="s">
        <v>48</v>
      </c>
      <c r="E114" t="s">
        <v>13</v>
      </c>
      <c r="F114" t="s">
        <v>14</v>
      </c>
      <c r="G114" t="s">
        <v>27</v>
      </c>
      <c r="H114" t="s">
        <v>72</v>
      </c>
      <c r="I114" s="2">
        <v>20140.64</v>
      </c>
      <c r="J114" s="2">
        <v>3836.64</v>
      </c>
      <c r="K114">
        <v>9</v>
      </c>
      <c r="L114" t="s">
        <v>22</v>
      </c>
    </row>
    <row r="115" spans="1:12" x14ac:dyDescent="0.3">
      <c r="A115" t="s">
        <v>208</v>
      </c>
      <c r="B115" s="1">
        <v>45881</v>
      </c>
      <c r="C115" s="1" t="str">
        <f>TEXT(Table1[[#This Row],[Order Date]],"mmm")</f>
        <v>Aug</v>
      </c>
      <c r="D115" t="s">
        <v>12</v>
      </c>
      <c r="E115" t="s">
        <v>36</v>
      </c>
      <c r="F115" t="s">
        <v>41</v>
      </c>
      <c r="G115" t="s">
        <v>51</v>
      </c>
      <c r="H115" t="s">
        <v>52</v>
      </c>
      <c r="I115" s="2">
        <v>25462.29</v>
      </c>
      <c r="J115" s="2">
        <v>3630.33</v>
      </c>
      <c r="K115">
        <v>7</v>
      </c>
      <c r="L115" t="s">
        <v>29</v>
      </c>
    </row>
    <row r="116" spans="1:12" x14ac:dyDescent="0.3">
      <c r="A116" t="s">
        <v>100</v>
      </c>
      <c r="B116" s="1">
        <v>45886</v>
      </c>
      <c r="C116" s="1" t="str">
        <f>TEXT(Table1[[#This Row],[Order Date]],"mmm")</f>
        <v>Aug</v>
      </c>
      <c r="D116" t="s">
        <v>62</v>
      </c>
      <c r="E116" t="s">
        <v>20</v>
      </c>
      <c r="F116" t="s">
        <v>21</v>
      </c>
      <c r="G116" t="s">
        <v>51</v>
      </c>
      <c r="H116" t="s">
        <v>87</v>
      </c>
      <c r="I116" s="2">
        <v>4834.88</v>
      </c>
      <c r="J116" s="2">
        <v>401.88</v>
      </c>
      <c r="K116">
        <v>7</v>
      </c>
      <c r="L116" t="s">
        <v>17</v>
      </c>
    </row>
    <row r="117" spans="1:12" x14ac:dyDescent="0.3">
      <c r="A117" t="s">
        <v>116</v>
      </c>
      <c r="B117" s="1">
        <v>45889</v>
      </c>
      <c r="C117" s="1" t="str">
        <f>TEXT(Table1[[#This Row],[Order Date]],"mmm")</f>
        <v>Aug</v>
      </c>
      <c r="D117" t="s">
        <v>12</v>
      </c>
      <c r="E117" t="s">
        <v>36</v>
      </c>
      <c r="F117" t="s">
        <v>41</v>
      </c>
      <c r="G117" t="s">
        <v>27</v>
      </c>
      <c r="H117" t="s">
        <v>42</v>
      </c>
      <c r="I117" s="2">
        <v>25130.2</v>
      </c>
      <c r="J117" s="2">
        <v>1769.7</v>
      </c>
      <c r="K117">
        <v>3</v>
      </c>
      <c r="L117" t="s">
        <v>22</v>
      </c>
    </row>
    <row r="118" spans="1:12" x14ac:dyDescent="0.3">
      <c r="A118" t="s">
        <v>219</v>
      </c>
      <c r="B118" s="1">
        <v>45889</v>
      </c>
      <c r="C118" s="1" t="str">
        <f>TEXT(Table1[[#This Row],[Order Date]],"mmm")</f>
        <v>Aug</v>
      </c>
      <c r="D118" t="s">
        <v>159</v>
      </c>
      <c r="E118" t="s">
        <v>20</v>
      </c>
      <c r="F118" t="s">
        <v>32</v>
      </c>
      <c r="G118" t="s">
        <v>15</v>
      </c>
      <c r="H118" t="s">
        <v>33</v>
      </c>
      <c r="I118" s="2">
        <v>10384.19</v>
      </c>
      <c r="J118" s="2">
        <v>1361.31</v>
      </c>
      <c r="K118">
        <v>4</v>
      </c>
      <c r="L118" t="s">
        <v>22</v>
      </c>
    </row>
    <row r="119" spans="1:12" x14ac:dyDescent="0.3">
      <c r="A119" t="s">
        <v>132</v>
      </c>
      <c r="B119" s="1">
        <v>45893</v>
      </c>
      <c r="C119" s="1" t="str">
        <f>TEXT(Table1[[#This Row],[Order Date]],"mmm")</f>
        <v>Aug</v>
      </c>
      <c r="D119" t="s">
        <v>74</v>
      </c>
      <c r="E119" t="s">
        <v>36</v>
      </c>
      <c r="F119" t="s">
        <v>37</v>
      </c>
      <c r="G119" t="s">
        <v>15</v>
      </c>
      <c r="H119" t="s">
        <v>16</v>
      </c>
      <c r="I119" s="2">
        <v>1610.74</v>
      </c>
      <c r="J119" s="2">
        <v>379.73</v>
      </c>
      <c r="K119">
        <v>7</v>
      </c>
      <c r="L119" t="s">
        <v>22</v>
      </c>
    </row>
    <row r="120" spans="1:12" x14ac:dyDescent="0.3">
      <c r="A120" t="s">
        <v>227</v>
      </c>
      <c r="B120" s="1">
        <v>45893</v>
      </c>
      <c r="C120" s="1" t="str">
        <f>TEXT(Table1[[#This Row],[Order Date]],"mmm")</f>
        <v>Aug</v>
      </c>
      <c r="D120" t="s">
        <v>123</v>
      </c>
      <c r="E120" t="s">
        <v>63</v>
      </c>
      <c r="F120" t="s">
        <v>64</v>
      </c>
      <c r="G120" t="s">
        <v>15</v>
      </c>
      <c r="H120" t="s">
        <v>39</v>
      </c>
      <c r="I120" s="2">
        <v>27473.73</v>
      </c>
      <c r="J120" s="2">
        <v>4762.8500000000004</v>
      </c>
      <c r="K120">
        <v>8</v>
      </c>
      <c r="L120" t="s">
        <v>17</v>
      </c>
    </row>
    <row r="121" spans="1:12" x14ac:dyDescent="0.3">
      <c r="A121" t="s">
        <v>111</v>
      </c>
      <c r="B121" s="1">
        <v>45894</v>
      </c>
      <c r="C121" s="1" t="str">
        <f>TEXT(Table1[[#This Row],[Order Date]],"mmm")</f>
        <v>Aug</v>
      </c>
      <c r="D121" t="s">
        <v>44</v>
      </c>
      <c r="E121" t="s">
        <v>45</v>
      </c>
      <c r="F121" t="s">
        <v>46</v>
      </c>
      <c r="G121" t="s">
        <v>27</v>
      </c>
      <c r="H121" t="s">
        <v>72</v>
      </c>
      <c r="I121" s="2">
        <v>5825.15</v>
      </c>
      <c r="J121" s="2">
        <v>516.08000000000004</v>
      </c>
      <c r="K121">
        <v>4</v>
      </c>
      <c r="L121" t="s">
        <v>17</v>
      </c>
    </row>
    <row r="122" spans="1:12" x14ac:dyDescent="0.3">
      <c r="A122" t="s">
        <v>164</v>
      </c>
      <c r="B122" s="1">
        <v>45894</v>
      </c>
      <c r="C122" s="1" t="str">
        <f>TEXT(Table1[[#This Row],[Order Date]],"mmm")</f>
        <v>Aug</v>
      </c>
      <c r="D122" t="s">
        <v>56</v>
      </c>
      <c r="E122" t="s">
        <v>25</v>
      </c>
      <c r="F122" t="s">
        <v>26</v>
      </c>
      <c r="G122" t="s">
        <v>27</v>
      </c>
      <c r="H122" t="s">
        <v>42</v>
      </c>
      <c r="I122" s="2">
        <v>40658.800000000003</v>
      </c>
      <c r="J122" s="2">
        <v>7566.03</v>
      </c>
      <c r="K122">
        <v>9</v>
      </c>
      <c r="L122" t="s">
        <v>17</v>
      </c>
    </row>
    <row r="123" spans="1:12" x14ac:dyDescent="0.3">
      <c r="A123" t="s">
        <v>158</v>
      </c>
      <c r="B123" s="1">
        <v>45895</v>
      </c>
      <c r="C123" s="1" t="str">
        <f>TEXT(Table1[[#This Row],[Order Date]],"mmm")</f>
        <v>Aug</v>
      </c>
      <c r="D123" t="s">
        <v>159</v>
      </c>
      <c r="E123" t="s">
        <v>45</v>
      </c>
      <c r="F123" t="s">
        <v>60</v>
      </c>
      <c r="G123" t="s">
        <v>27</v>
      </c>
      <c r="H123" t="s">
        <v>28</v>
      </c>
      <c r="I123" s="2">
        <v>41663.57</v>
      </c>
      <c r="J123" s="2">
        <v>3039.95</v>
      </c>
      <c r="K123">
        <v>7</v>
      </c>
      <c r="L123" t="s">
        <v>22</v>
      </c>
    </row>
    <row r="124" spans="1:12" x14ac:dyDescent="0.3">
      <c r="A124" t="s">
        <v>104</v>
      </c>
      <c r="B124" s="1">
        <v>45898</v>
      </c>
      <c r="C124" s="1" t="str">
        <f>TEXT(Table1[[#This Row],[Order Date]],"mmm")</f>
        <v>Aug</v>
      </c>
      <c r="D124" t="s">
        <v>91</v>
      </c>
      <c r="E124" t="s">
        <v>63</v>
      </c>
      <c r="F124" t="s">
        <v>64</v>
      </c>
      <c r="G124" t="s">
        <v>51</v>
      </c>
      <c r="H124" t="s">
        <v>65</v>
      </c>
      <c r="I124" s="2">
        <v>21252.97</v>
      </c>
      <c r="J124" s="2">
        <v>4512.66</v>
      </c>
      <c r="K124">
        <v>7</v>
      </c>
      <c r="L124" t="s">
        <v>22</v>
      </c>
    </row>
    <row r="125" spans="1:12" x14ac:dyDescent="0.3">
      <c r="A125" t="s">
        <v>175</v>
      </c>
      <c r="B125" s="1">
        <v>45898</v>
      </c>
      <c r="C125" s="1" t="str">
        <f>TEXT(Table1[[#This Row],[Order Date]],"mmm")</f>
        <v>Aug</v>
      </c>
      <c r="D125" t="s">
        <v>19</v>
      </c>
      <c r="E125" t="s">
        <v>63</v>
      </c>
      <c r="F125" t="s">
        <v>64</v>
      </c>
      <c r="G125" t="s">
        <v>15</v>
      </c>
      <c r="H125" t="s">
        <v>16</v>
      </c>
      <c r="I125" s="2">
        <v>14022.57</v>
      </c>
      <c r="J125" s="2">
        <v>3030.61</v>
      </c>
      <c r="K125">
        <v>7</v>
      </c>
      <c r="L125" t="s">
        <v>17</v>
      </c>
    </row>
    <row r="126" spans="1:12" x14ac:dyDescent="0.3">
      <c r="A126" t="s">
        <v>78</v>
      </c>
      <c r="B126" s="1">
        <v>45901</v>
      </c>
      <c r="C126" s="1" t="str">
        <f>TEXT(Table1[[#This Row],[Order Date]],"mmm")</f>
        <v>Sep</v>
      </c>
      <c r="D126" t="s">
        <v>68</v>
      </c>
      <c r="E126" t="s">
        <v>36</v>
      </c>
      <c r="F126" t="s">
        <v>41</v>
      </c>
      <c r="G126" t="s">
        <v>27</v>
      </c>
      <c r="H126" t="s">
        <v>72</v>
      </c>
      <c r="I126" s="2">
        <v>35217.97</v>
      </c>
      <c r="J126" s="2">
        <v>8220.5400000000009</v>
      </c>
      <c r="K126">
        <v>8</v>
      </c>
      <c r="L126" t="s">
        <v>29</v>
      </c>
    </row>
    <row r="127" spans="1:12" x14ac:dyDescent="0.3">
      <c r="A127" t="s">
        <v>179</v>
      </c>
      <c r="B127" s="1">
        <v>45901</v>
      </c>
      <c r="C127" s="1" t="str">
        <f>TEXT(Table1[[#This Row],[Order Date]],"mmm")</f>
        <v>Sep</v>
      </c>
      <c r="D127" t="s">
        <v>35</v>
      </c>
      <c r="E127" t="s">
        <v>20</v>
      </c>
      <c r="F127" t="s">
        <v>21</v>
      </c>
      <c r="G127" t="s">
        <v>27</v>
      </c>
      <c r="H127" t="s">
        <v>28</v>
      </c>
      <c r="I127" s="2">
        <v>657.55</v>
      </c>
      <c r="J127" s="2">
        <v>155.85</v>
      </c>
      <c r="K127">
        <v>4</v>
      </c>
      <c r="L127" t="s">
        <v>29</v>
      </c>
    </row>
    <row r="128" spans="1:12" x14ac:dyDescent="0.3">
      <c r="A128" t="s">
        <v>93</v>
      </c>
      <c r="B128" s="1">
        <v>45902</v>
      </c>
      <c r="C128" s="1" t="str">
        <f>TEXT(Table1[[#This Row],[Order Date]],"mmm")</f>
        <v>Sep</v>
      </c>
      <c r="D128" t="s">
        <v>91</v>
      </c>
      <c r="E128" t="s">
        <v>45</v>
      </c>
      <c r="F128" t="s">
        <v>60</v>
      </c>
      <c r="G128" t="s">
        <v>15</v>
      </c>
      <c r="H128" t="s">
        <v>33</v>
      </c>
      <c r="I128" s="2">
        <v>13538.29</v>
      </c>
      <c r="J128" s="2">
        <v>2432.94</v>
      </c>
      <c r="K128">
        <v>1</v>
      </c>
      <c r="L128" t="s">
        <v>17</v>
      </c>
    </row>
    <row r="129" spans="1:12" x14ac:dyDescent="0.3">
      <c r="A129" t="s">
        <v>180</v>
      </c>
      <c r="B129" s="1">
        <v>45902</v>
      </c>
      <c r="C129" s="1" t="str">
        <f>TEXT(Table1[[#This Row],[Order Date]],"mmm")</f>
        <v>Sep</v>
      </c>
      <c r="D129" t="s">
        <v>54</v>
      </c>
      <c r="E129" t="s">
        <v>36</v>
      </c>
      <c r="F129" t="s">
        <v>41</v>
      </c>
      <c r="G129" t="s">
        <v>15</v>
      </c>
      <c r="H129" t="s">
        <v>16</v>
      </c>
      <c r="I129" s="2">
        <v>38241.51</v>
      </c>
      <c r="J129" s="2">
        <v>6432.39</v>
      </c>
      <c r="K129">
        <v>10</v>
      </c>
      <c r="L129" t="s">
        <v>17</v>
      </c>
    </row>
    <row r="130" spans="1:12" x14ac:dyDescent="0.3">
      <c r="A130" t="s">
        <v>203</v>
      </c>
      <c r="B130" s="1">
        <v>45902</v>
      </c>
      <c r="C130" s="1" t="str">
        <f>TEXT(Table1[[#This Row],[Order Date]],"mmm")</f>
        <v>Sep</v>
      </c>
      <c r="D130" t="s">
        <v>35</v>
      </c>
      <c r="E130" t="s">
        <v>13</v>
      </c>
      <c r="F130" t="s">
        <v>14</v>
      </c>
      <c r="G130" t="s">
        <v>27</v>
      </c>
      <c r="H130" t="s">
        <v>28</v>
      </c>
      <c r="I130" s="2">
        <v>24180.03</v>
      </c>
      <c r="J130" s="2">
        <v>2802.34</v>
      </c>
      <c r="K130">
        <v>10</v>
      </c>
      <c r="L130" t="s">
        <v>29</v>
      </c>
    </row>
    <row r="131" spans="1:12" x14ac:dyDescent="0.3">
      <c r="A131" t="s">
        <v>30</v>
      </c>
      <c r="B131" s="1">
        <v>45903</v>
      </c>
      <c r="C131" s="1" t="str">
        <f>TEXT(Table1[[#This Row],[Order Date]],"mmm")</f>
        <v>Sep</v>
      </c>
      <c r="D131" t="s">
        <v>31</v>
      </c>
      <c r="E131" t="s">
        <v>20</v>
      </c>
      <c r="F131" t="s">
        <v>32</v>
      </c>
      <c r="G131" t="s">
        <v>15</v>
      </c>
      <c r="H131" t="s">
        <v>33</v>
      </c>
      <c r="I131" s="2">
        <v>34408.449999999997</v>
      </c>
      <c r="J131" s="2">
        <v>1820.02</v>
      </c>
      <c r="K131">
        <v>3</v>
      </c>
      <c r="L131" t="s">
        <v>17</v>
      </c>
    </row>
    <row r="132" spans="1:12" x14ac:dyDescent="0.3">
      <c r="A132" t="s">
        <v>115</v>
      </c>
      <c r="B132" s="1">
        <v>45904</v>
      </c>
      <c r="C132" s="1" t="str">
        <f>TEXT(Table1[[#This Row],[Order Date]],"mmm")</f>
        <v>Sep</v>
      </c>
      <c r="D132" t="s">
        <v>89</v>
      </c>
      <c r="E132" t="s">
        <v>20</v>
      </c>
      <c r="F132" t="s">
        <v>21</v>
      </c>
      <c r="G132" t="s">
        <v>27</v>
      </c>
      <c r="H132" t="s">
        <v>72</v>
      </c>
      <c r="I132" s="2">
        <v>43259.59</v>
      </c>
      <c r="J132" s="2">
        <v>6448.87</v>
      </c>
      <c r="K132">
        <v>10</v>
      </c>
      <c r="L132" t="s">
        <v>17</v>
      </c>
    </row>
    <row r="133" spans="1:12" x14ac:dyDescent="0.3">
      <c r="A133" t="s">
        <v>103</v>
      </c>
      <c r="B133" s="1">
        <v>45906</v>
      </c>
      <c r="C133" s="1" t="str">
        <f>TEXT(Table1[[#This Row],[Order Date]],"mmm")</f>
        <v>Sep</v>
      </c>
      <c r="D133" t="s">
        <v>68</v>
      </c>
      <c r="E133" t="s">
        <v>63</v>
      </c>
      <c r="F133" t="s">
        <v>64</v>
      </c>
      <c r="G133" t="s">
        <v>27</v>
      </c>
      <c r="H133" t="s">
        <v>28</v>
      </c>
      <c r="I133" s="2">
        <v>2805.34</v>
      </c>
      <c r="J133" s="2">
        <v>161.04</v>
      </c>
      <c r="K133">
        <v>7</v>
      </c>
      <c r="L133" t="s">
        <v>17</v>
      </c>
    </row>
    <row r="134" spans="1:12" x14ac:dyDescent="0.3">
      <c r="A134" t="s">
        <v>141</v>
      </c>
      <c r="B134" s="1">
        <v>45913</v>
      </c>
      <c r="C134" s="1" t="str">
        <f>TEXT(Table1[[#This Row],[Order Date]],"mmm")</f>
        <v>Sep</v>
      </c>
      <c r="D134" t="s">
        <v>48</v>
      </c>
      <c r="E134" t="s">
        <v>45</v>
      </c>
      <c r="F134" t="s">
        <v>60</v>
      </c>
      <c r="G134" t="s">
        <v>51</v>
      </c>
      <c r="H134" t="s">
        <v>65</v>
      </c>
      <c r="I134" s="2">
        <v>26880.55</v>
      </c>
      <c r="J134" s="2">
        <v>1503.12</v>
      </c>
      <c r="K134">
        <v>6</v>
      </c>
      <c r="L134" t="s">
        <v>22</v>
      </c>
    </row>
    <row r="135" spans="1:12" x14ac:dyDescent="0.3">
      <c r="A135" t="s">
        <v>59</v>
      </c>
      <c r="B135" s="1">
        <v>45914</v>
      </c>
      <c r="C135" s="1" t="str">
        <f>TEXT(Table1[[#This Row],[Order Date]],"mmm")</f>
        <v>Sep</v>
      </c>
      <c r="D135" t="s">
        <v>56</v>
      </c>
      <c r="E135" t="s">
        <v>45</v>
      </c>
      <c r="F135" t="s">
        <v>60</v>
      </c>
      <c r="G135" t="s">
        <v>27</v>
      </c>
      <c r="H135" t="s">
        <v>28</v>
      </c>
      <c r="I135" s="2">
        <v>26020.86</v>
      </c>
      <c r="J135" s="2">
        <v>3476.46</v>
      </c>
      <c r="K135">
        <v>4</v>
      </c>
      <c r="L135" t="s">
        <v>17</v>
      </c>
    </row>
    <row r="136" spans="1:12" x14ac:dyDescent="0.3">
      <c r="A136" t="s">
        <v>245</v>
      </c>
      <c r="B136" s="1">
        <v>45916</v>
      </c>
      <c r="C136" s="1" t="str">
        <f>TEXT(Table1[[#This Row],[Order Date]],"mmm")</f>
        <v>Sep</v>
      </c>
      <c r="D136" t="s">
        <v>50</v>
      </c>
      <c r="E136" t="s">
        <v>25</v>
      </c>
      <c r="F136" t="s">
        <v>58</v>
      </c>
      <c r="G136" t="s">
        <v>51</v>
      </c>
      <c r="H136" t="s">
        <v>52</v>
      </c>
      <c r="I136" s="2">
        <v>1941.41</v>
      </c>
      <c r="J136" s="2">
        <v>480.14</v>
      </c>
      <c r="K136">
        <v>1</v>
      </c>
      <c r="L136" t="s">
        <v>29</v>
      </c>
    </row>
    <row r="137" spans="1:12" x14ac:dyDescent="0.3">
      <c r="A137" t="s">
        <v>88</v>
      </c>
      <c r="B137" s="1">
        <v>45918</v>
      </c>
      <c r="C137" s="1" t="str">
        <f>TEXT(Table1[[#This Row],[Order Date]],"mmm")</f>
        <v>Sep</v>
      </c>
      <c r="D137" t="s">
        <v>89</v>
      </c>
      <c r="E137" t="s">
        <v>36</v>
      </c>
      <c r="F137" t="s">
        <v>41</v>
      </c>
      <c r="G137" t="s">
        <v>27</v>
      </c>
      <c r="H137" t="s">
        <v>28</v>
      </c>
      <c r="I137" s="2">
        <v>1257.8499999999999</v>
      </c>
      <c r="J137" s="2">
        <v>195.44</v>
      </c>
      <c r="K137">
        <v>5</v>
      </c>
      <c r="L137" t="s">
        <v>22</v>
      </c>
    </row>
    <row r="138" spans="1:12" x14ac:dyDescent="0.3">
      <c r="A138" t="s">
        <v>152</v>
      </c>
      <c r="B138" s="1">
        <v>45918</v>
      </c>
      <c r="C138" s="1" t="str">
        <f>TEXT(Table1[[#This Row],[Order Date]],"mmm")</f>
        <v>Sep</v>
      </c>
      <c r="D138" t="s">
        <v>48</v>
      </c>
      <c r="E138" t="s">
        <v>63</v>
      </c>
      <c r="F138" t="s">
        <v>64</v>
      </c>
      <c r="G138" t="s">
        <v>27</v>
      </c>
      <c r="H138" t="s">
        <v>42</v>
      </c>
      <c r="I138" s="2">
        <v>49739.5</v>
      </c>
      <c r="J138" s="2">
        <v>9339.5300000000007</v>
      </c>
      <c r="K138">
        <v>9</v>
      </c>
      <c r="L138" t="s">
        <v>29</v>
      </c>
    </row>
    <row r="139" spans="1:12" x14ac:dyDescent="0.3">
      <c r="A139" t="s">
        <v>119</v>
      </c>
      <c r="B139" s="1">
        <v>45923</v>
      </c>
      <c r="C139" s="1" t="str">
        <f>TEXT(Table1[[#This Row],[Order Date]],"mmm")</f>
        <v>Sep</v>
      </c>
      <c r="D139" t="s">
        <v>98</v>
      </c>
      <c r="E139" t="s">
        <v>20</v>
      </c>
      <c r="F139" t="s">
        <v>32</v>
      </c>
      <c r="G139" t="s">
        <v>15</v>
      </c>
      <c r="H139" t="s">
        <v>39</v>
      </c>
      <c r="I139" s="2">
        <v>40577.14</v>
      </c>
      <c r="J139" s="2">
        <v>7734.07</v>
      </c>
      <c r="K139">
        <v>3</v>
      </c>
      <c r="L139" t="s">
        <v>17</v>
      </c>
    </row>
    <row r="140" spans="1:12" x14ac:dyDescent="0.3">
      <c r="A140" t="s">
        <v>215</v>
      </c>
      <c r="B140" s="1">
        <v>45923</v>
      </c>
      <c r="C140" s="1" t="str">
        <f>TEXT(Table1[[#This Row],[Order Date]],"mmm")</f>
        <v>Sep</v>
      </c>
      <c r="D140" t="s">
        <v>71</v>
      </c>
      <c r="E140" t="s">
        <v>25</v>
      </c>
      <c r="F140" t="s">
        <v>26</v>
      </c>
      <c r="G140" t="s">
        <v>27</v>
      </c>
      <c r="H140" t="s">
        <v>42</v>
      </c>
      <c r="I140" s="2">
        <v>45605.52</v>
      </c>
      <c r="J140" s="2">
        <v>2759.98</v>
      </c>
      <c r="K140">
        <v>2</v>
      </c>
      <c r="L140" t="s">
        <v>17</v>
      </c>
    </row>
    <row r="141" spans="1:12" x14ac:dyDescent="0.3">
      <c r="A141" t="s">
        <v>94</v>
      </c>
      <c r="B141" s="1">
        <v>45927</v>
      </c>
      <c r="C141" s="1" t="str">
        <f>TEXT(Table1[[#This Row],[Order Date]],"mmm")</f>
        <v>Sep</v>
      </c>
      <c r="D141" t="s">
        <v>24</v>
      </c>
      <c r="E141" t="s">
        <v>25</v>
      </c>
      <c r="F141" t="s">
        <v>58</v>
      </c>
      <c r="G141" t="s">
        <v>51</v>
      </c>
      <c r="H141" t="s">
        <v>87</v>
      </c>
      <c r="I141" s="2">
        <v>41657.910000000003</v>
      </c>
      <c r="J141" s="2">
        <v>9028.25</v>
      </c>
      <c r="K141">
        <v>10</v>
      </c>
      <c r="L141" t="s">
        <v>17</v>
      </c>
    </row>
    <row r="142" spans="1:12" x14ac:dyDescent="0.3">
      <c r="A142" t="s">
        <v>244</v>
      </c>
      <c r="B142" s="1">
        <v>45929</v>
      </c>
      <c r="C142" s="1" t="str">
        <f>TEXT(Table1[[#This Row],[Order Date]],"mmm")</f>
        <v>Sep</v>
      </c>
      <c r="D142" t="s">
        <v>62</v>
      </c>
      <c r="E142" t="s">
        <v>36</v>
      </c>
      <c r="F142" t="s">
        <v>41</v>
      </c>
      <c r="G142" t="s">
        <v>51</v>
      </c>
      <c r="H142" t="s">
        <v>65</v>
      </c>
      <c r="I142" s="2">
        <v>9082.27</v>
      </c>
      <c r="J142" s="2">
        <v>999.4</v>
      </c>
      <c r="K142">
        <v>8</v>
      </c>
      <c r="L142" t="s">
        <v>22</v>
      </c>
    </row>
    <row r="143" spans="1:12" x14ac:dyDescent="0.3">
      <c r="A143" t="s">
        <v>181</v>
      </c>
      <c r="B143" s="1">
        <v>45930</v>
      </c>
      <c r="C143" s="1" t="str">
        <f>TEXT(Table1[[#This Row],[Order Date]],"mmm")</f>
        <v>Sep</v>
      </c>
      <c r="D143" t="s">
        <v>12</v>
      </c>
      <c r="E143" t="s">
        <v>20</v>
      </c>
      <c r="F143" t="s">
        <v>21</v>
      </c>
      <c r="G143" t="s">
        <v>51</v>
      </c>
      <c r="H143" t="s">
        <v>52</v>
      </c>
      <c r="I143" s="2">
        <v>36765.54</v>
      </c>
      <c r="J143" s="2">
        <v>6458.77</v>
      </c>
      <c r="K143">
        <v>8</v>
      </c>
      <c r="L143" t="s">
        <v>17</v>
      </c>
    </row>
    <row r="144" spans="1:12" x14ac:dyDescent="0.3">
      <c r="A144" t="s">
        <v>77</v>
      </c>
      <c r="B144" s="1">
        <v>45931</v>
      </c>
      <c r="C144" s="1" t="str">
        <f>TEXT(Table1[[#This Row],[Order Date]],"mmm")</f>
        <v>Oct</v>
      </c>
      <c r="D144" t="s">
        <v>31</v>
      </c>
      <c r="E144" t="s">
        <v>25</v>
      </c>
      <c r="F144" t="s">
        <v>26</v>
      </c>
      <c r="G144" t="s">
        <v>15</v>
      </c>
      <c r="H144" t="s">
        <v>33</v>
      </c>
      <c r="I144" s="2">
        <v>37849.17</v>
      </c>
      <c r="J144" s="2">
        <v>7767.27</v>
      </c>
      <c r="K144">
        <v>8</v>
      </c>
      <c r="L144" t="s">
        <v>17</v>
      </c>
    </row>
    <row r="145" spans="1:12" x14ac:dyDescent="0.3">
      <c r="A145" t="s">
        <v>148</v>
      </c>
      <c r="B145" s="1">
        <v>45931</v>
      </c>
      <c r="C145" s="1" t="str">
        <f>TEXT(Table1[[#This Row],[Order Date]],"mmm")</f>
        <v>Oct</v>
      </c>
      <c r="D145" t="s">
        <v>74</v>
      </c>
      <c r="E145" t="s">
        <v>20</v>
      </c>
      <c r="F145" t="s">
        <v>21</v>
      </c>
      <c r="G145" t="s">
        <v>51</v>
      </c>
      <c r="H145" t="s">
        <v>65</v>
      </c>
      <c r="I145" s="2">
        <v>9625.0499999999993</v>
      </c>
      <c r="J145" s="2">
        <v>2235.9899999999998</v>
      </c>
      <c r="K145">
        <v>9</v>
      </c>
      <c r="L145" t="s">
        <v>29</v>
      </c>
    </row>
    <row r="146" spans="1:12" x14ac:dyDescent="0.3">
      <c r="A146" t="s">
        <v>38</v>
      </c>
      <c r="B146" s="1">
        <v>45932</v>
      </c>
      <c r="C146" s="1" t="str">
        <f>TEXT(Table1[[#This Row],[Order Date]],"mmm")</f>
        <v>Oct</v>
      </c>
      <c r="D146" t="s">
        <v>31</v>
      </c>
      <c r="E146" t="s">
        <v>20</v>
      </c>
      <c r="F146" t="s">
        <v>32</v>
      </c>
      <c r="G146" t="s">
        <v>15</v>
      </c>
      <c r="H146" t="s">
        <v>39</v>
      </c>
      <c r="I146" s="2">
        <v>36965.57</v>
      </c>
      <c r="J146" s="2">
        <v>4941.2</v>
      </c>
      <c r="K146">
        <v>8</v>
      </c>
      <c r="L146" t="s">
        <v>17</v>
      </c>
    </row>
    <row r="147" spans="1:12" x14ac:dyDescent="0.3">
      <c r="A147" t="s">
        <v>150</v>
      </c>
      <c r="B147" s="1">
        <v>45932</v>
      </c>
      <c r="C147" s="1" t="str">
        <f>TEXT(Table1[[#This Row],[Order Date]],"mmm")</f>
        <v>Oct</v>
      </c>
      <c r="D147" t="s">
        <v>89</v>
      </c>
      <c r="E147" t="s">
        <v>63</v>
      </c>
      <c r="F147" t="s">
        <v>64</v>
      </c>
      <c r="G147" t="s">
        <v>27</v>
      </c>
      <c r="H147" t="s">
        <v>72</v>
      </c>
      <c r="I147" s="2">
        <v>36616.699999999997</v>
      </c>
      <c r="J147" s="2">
        <v>6237.18</v>
      </c>
      <c r="K147">
        <v>4</v>
      </c>
      <c r="L147" t="s">
        <v>22</v>
      </c>
    </row>
    <row r="148" spans="1:12" x14ac:dyDescent="0.3">
      <c r="A148" t="s">
        <v>129</v>
      </c>
      <c r="B148" s="1">
        <v>45933</v>
      </c>
      <c r="C148" s="1" t="str">
        <f>TEXT(Table1[[#This Row],[Order Date]],"mmm")</f>
        <v>Oct</v>
      </c>
      <c r="D148" t="s">
        <v>81</v>
      </c>
      <c r="E148" t="s">
        <v>63</v>
      </c>
      <c r="F148" t="s">
        <v>64</v>
      </c>
      <c r="G148" t="s">
        <v>51</v>
      </c>
      <c r="H148" t="s">
        <v>65</v>
      </c>
      <c r="I148" s="2">
        <v>10994.41</v>
      </c>
      <c r="J148" s="2">
        <v>2099.09</v>
      </c>
      <c r="K148">
        <v>9</v>
      </c>
      <c r="L148" t="s">
        <v>29</v>
      </c>
    </row>
    <row r="149" spans="1:12" x14ac:dyDescent="0.3">
      <c r="A149" t="s">
        <v>249</v>
      </c>
      <c r="B149" s="1">
        <v>45933</v>
      </c>
      <c r="C149" s="1" t="str">
        <f>TEXT(Table1[[#This Row],[Order Date]],"mmm")</f>
        <v>Oct</v>
      </c>
      <c r="D149" t="s">
        <v>48</v>
      </c>
      <c r="E149" t="s">
        <v>20</v>
      </c>
      <c r="F149" t="s">
        <v>21</v>
      </c>
      <c r="G149" t="s">
        <v>15</v>
      </c>
      <c r="H149" t="s">
        <v>16</v>
      </c>
      <c r="I149" s="2">
        <v>7566.12</v>
      </c>
      <c r="J149" s="2">
        <v>773.35</v>
      </c>
      <c r="K149">
        <v>5</v>
      </c>
      <c r="L149" t="s">
        <v>17</v>
      </c>
    </row>
    <row r="150" spans="1:12" x14ac:dyDescent="0.3">
      <c r="A150" t="s">
        <v>172</v>
      </c>
      <c r="B150" s="1">
        <v>45935</v>
      </c>
      <c r="C150" s="1" t="str">
        <f>TEXT(Table1[[#This Row],[Order Date]],"mmm")</f>
        <v>Oct</v>
      </c>
      <c r="D150" t="s">
        <v>74</v>
      </c>
      <c r="E150" t="s">
        <v>63</v>
      </c>
      <c r="F150" t="s">
        <v>64</v>
      </c>
      <c r="G150" t="s">
        <v>15</v>
      </c>
      <c r="H150" t="s">
        <v>33</v>
      </c>
      <c r="I150" s="2">
        <v>11375.19</v>
      </c>
      <c r="J150" s="2">
        <v>1601.44</v>
      </c>
      <c r="K150">
        <v>5</v>
      </c>
      <c r="L150" t="s">
        <v>17</v>
      </c>
    </row>
    <row r="151" spans="1:12" x14ac:dyDescent="0.3">
      <c r="A151" t="s">
        <v>34</v>
      </c>
      <c r="B151" s="1">
        <v>45937</v>
      </c>
      <c r="C151" s="1" t="str">
        <f>TEXT(Table1[[#This Row],[Order Date]],"mmm")</f>
        <v>Oct</v>
      </c>
      <c r="D151" t="s">
        <v>35</v>
      </c>
      <c r="E151" t="s">
        <v>36</v>
      </c>
      <c r="F151" t="s">
        <v>37</v>
      </c>
      <c r="G151" t="s">
        <v>15</v>
      </c>
      <c r="H151" t="s">
        <v>33</v>
      </c>
      <c r="I151" s="2">
        <v>28451.21</v>
      </c>
      <c r="J151" s="2">
        <v>3300.23</v>
      </c>
      <c r="K151">
        <v>8</v>
      </c>
      <c r="L151" t="s">
        <v>29</v>
      </c>
    </row>
    <row r="152" spans="1:12" x14ac:dyDescent="0.3">
      <c r="A152" t="s">
        <v>168</v>
      </c>
      <c r="B152" s="1">
        <v>45937</v>
      </c>
      <c r="C152" s="1" t="str">
        <f>TEXT(Table1[[#This Row],[Order Date]],"mmm")</f>
        <v>Oct</v>
      </c>
      <c r="D152" t="s">
        <v>68</v>
      </c>
      <c r="E152" t="s">
        <v>13</v>
      </c>
      <c r="F152" t="s">
        <v>76</v>
      </c>
      <c r="G152" t="s">
        <v>27</v>
      </c>
      <c r="H152" t="s">
        <v>28</v>
      </c>
      <c r="I152" s="2">
        <v>48337.1</v>
      </c>
      <c r="J152" s="2">
        <v>9117.7199999999993</v>
      </c>
      <c r="K152">
        <v>3</v>
      </c>
      <c r="L152" t="s">
        <v>17</v>
      </c>
    </row>
    <row r="153" spans="1:12" x14ac:dyDescent="0.3">
      <c r="A153" t="s">
        <v>118</v>
      </c>
      <c r="B153" s="1">
        <v>45942</v>
      </c>
      <c r="C153" s="1" t="str">
        <f>TEXT(Table1[[#This Row],[Order Date]],"mmm")</f>
        <v>Oct</v>
      </c>
      <c r="D153" t="s">
        <v>54</v>
      </c>
      <c r="E153" t="s">
        <v>20</v>
      </c>
      <c r="F153" t="s">
        <v>32</v>
      </c>
      <c r="G153" t="s">
        <v>15</v>
      </c>
      <c r="H153" t="s">
        <v>16</v>
      </c>
      <c r="I153" s="2">
        <v>11211</v>
      </c>
      <c r="J153" s="2">
        <v>2425.19</v>
      </c>
      <c r="K153">
        <v>3</v>
      </c>
      <c r="L153" t="s">
        <v>29</v>
      </c>
    </row>
    <row r="154" spans="1:12" x14ac:dyDescent="0.3">
      <c r="A154" t="s">
        <v>184</v>
      </c>
      <c r="B154" s="1">
        <v>45944</v>
      </c>
      <c r="C154" s="1" t="str">
        <f>TEXT(Table1[[#This Row],[Order Date]],"mmm")</f>
        <v>Oct</v>
      </c>
      <c r="D154" t="s">
        <v>62</v>
      </c>
      <c r="E154" t="s">
        <v>63</v>
      </c>
      <c r="F154" t="s">
        <v>64</v>
      </c>
      <c r="G154" t="s">
        <v>27</v>
      </c>
      <c r="H154" t="s">
        <v>42</v>
      </c>
      <c r="I154" s="2">
        <v>1586.28</v>
      </c>
      <c r="J154" s="2">
        <v>348.46</v>
      </c>
      <c r="K154">
        <v>4</v>
      </c>
      <c r="L154" t="s">
        <v>22</v>
      </c>
    </row>
    <row r="155" spans="1:12" x14ac:dyDescent="0.3">
      <c r="A155" t="s">
        <v>140</v>
      </c>
      <c r="B155" s="1">
        <v>45945</v>
      </c>
      <c r="C155" s="1" t="str">
        <f>TEXT(Table1[[#This Row],[Order Date]],"mmm")</f>
        <v>Oct</v>
      </c>
      <c r="D155" t="s">
        <v>68</v>
      </c>
      <c r="E155" t="s">
        <v>13</v>
      </c>
      <c r="F155" t="s">
        <v>14</v>
      </c>
      <c r="G155" t="s">
        <v>51</v>
      </c>
      <c r="H155" t="s">
        <v>65</v>
      </c>
      <c r="I155" s="2">
        <v>8025.11</v>
      </c>
      <c r="J155" s="2">
        <v>1156.94</v>
      </c>
      <c r="K155">
        <v>5</v>
      </c>
      <c r="L155" t="s">
        <v>29</v>
      </c>
    </row>
    <row r="156" spans="1:12" x14ac:dyDescent="0.3">
      <c r="A156" t="s">
        <v>191</v>
      </c>
      <c r="B156" s="1">
        <v>45947</v>
      </c>
      <c r="C156" s="1" t="str">
        <f>TEXT(Table1[[#This Row],[Order Date]],"mmm")</f>
        <v>Oct</v>
      </c>
      <c r="D156" t="s">
        <v>71</v>
      </c>
      <c r="E156" t="s">
        <v>45</v>
      </c>
      <c r="F156" t="s">
        <v>60</v>
      </c>
      <c r="G156" t="s">
        <v>15</v>
      </c>
      <c r="H156" t="s">
        <v>33</v>
      </c>
      <c r="I156" s="2">
        <v>31048.29</v>
      </c>
      <c r="J156" s="2">
        <v>6238.33</v>
      </c>
      <c r="K156">
        <v>1</v>
      </c>
      <c r="L156" t="s">
        <v>29</v>
      </c>
    </row>
    <row r="157" spans="1:12" x14ac:dyDescent="0.3">
      <c r="A157" t="s">
        <v>248</v>
      </c>
      <c r="B157" s="1">
        <v>45948</v>
      </c>
      <c r="C157" s="1" t="str">
        <f>TEXT(Table1[[#This Row],[Order Date]],"mmm")</f>
        <v>Oct</v>
      </c>
      <c r="D157" t="s">
        <v>123</v>
      </c>
      <c r="E157" t="s">
        <v>45</v>
      </c>
      <c r="F157" t="s">
        <v>60</v>
      </c>
      <c r="G157" t="s">
        <v>51</v>
      </c>
      <c r="H157" t="s">
        <v>65</v>
      </c>
      <c r="I157" s="2">
        <v>12953.53</v>
      </c>
      <c r="J157" s="2">
        <v>2322.33</v>
      </c>
      <c r="K157">
        <v>7</v>
      </c>
      <c r="L157" t="s">
        <v>17</v>
      </c>
    </row>
    <row r="158" spans="1:12" x14ac:dyDescent="0.3">
      <c r="A158" t="s">
        <v>95</v>
      </c>
      <c r="B158" s="1">
        <v>45949</v>
      </c>
      <c r="C158" s="1" t="str">
        <f>TEXT(Table1[[#This Row],[Order Date]],"mmm")</f>
        <v>Oct</v>
      </c>
      <c r="D158" t="s">
        <v>74</v>
      </c>
      <c r="E158" t="s">
        <v>25</v>
      </c>
      <c r="F158" t="s">
        <v>58</v>
      </c>
      <c r="G158" t="s">
        <v>51</v>
      </c>
      <c r="H158" t="s">
        <v>52</v>
      </c>
      <c r="I158" s="2">
        <v>46787.839999999997</v>
      </c>
      <c r="J158" s="2">
        <v>3244.93</v>
      </c>
      <c r="K158">
        <v>8</v>
      </c>
      <c r="L158" t="s">
        <v>29</v>
      </c>
    </row>
    <row r="159" spans="1:12" x14ac:dyDescent="0.3">
      <c r="A159" t="s">
        <v>146</v>
      </c>
      <c r="B159" s="1">
        <v>45949</v>
      </c>
      <c r="C159" s="1" t="str">
        <f>TEXT(Table1[[#This Row],[Order Date]],"mmm")</f>
        <v>Oct</v>
      </c>
      <c r="D159" t="s">
        <v>81</v>
      </c>
      <c r="E159" t="s">
        <v>25</v>
      </c>
      <c r="F159" t="s">
        <v>58</v>
      </c>
      <c r="G159" t="s">
        <v>51</v>
      </c>
      <c r="H159" t="s">
        <v>65</v>
      </c>
      <c r="I159" s="2">
        <v>20069.330000000002</v>
      </c>
      <c r="J159" s="2">
        <v>1631.55</v>
      </c>
      <c r="K159">
        <v>3</v>
      </c>
      <c r="L159" t="s">
        <v>17</v>
      </c>
    </row>
    <row r="160" spans="1:12" x14ac:dyDescent="0.3">
      <c r="A160" t="s">
        <v>197</v>
      </c>
      <c r="B160" s="1">
        <v>45950</v>
      </c>
      <c r="C160" s="1" t="str">
        <f>TEXT(Table1[[#This Row],[Order Date]],"mmm")</f>
        <v>Oct</v>
      </c>
      <c r="D160" t="s">
        <v>44</v>
      </c>
      <c r="E160" t="s">
        <v>20</v>
      </c>
      <c r="F160" t="s">
        <v>21</v>
      </c>
      <c r="G160" t="s">
        <v>15</v>
      </c>
      <c r="H160" t="s">
        <v>16</v>
      </c>
      <c r="I160" s="2">
        <v>17961.96</v>
      </c>
      <c r="J160" s="2">
        <v>1601.63</v>
      </c>
      <c r="K160">
        <v>1</v>
      </c>
      <c r="L160" t="s">
        <v>29</v>
      </c>
    </row>
    <row r="161" spans="1:12" x14ac:dyDescent="0.3">
      <c r="A161" t="s">
        <v>232</v>
      </c>
      <c r="B161" s="1">
        <v>45952</v>
      </c>
      <c r="C161" s="1" t="str">
        <f>TEXT(Table1[[#This Row],[Order Date]],"mmm")</f>
        <v>Oct</v>
      </c>
      <c r="D161" t="s">
        <v>68</v>
      </c>
      <c r="E161" t="s">
        <v>20</v>
      </c>
      <c r="F161" t="s">
        <v>32</v>
      </c>
      <c r="G161" t="s">
        <v>15</v>
      </c>
      <c r="H161" t="s">
        <v>16</v>
      </c>
      <c r="I161" s="2">
        <v>49979.43</v>
      </c>
      <c r="J161" s="2">
        <v>5182.7</v>
      </c>
      <c r="K161">
        <v>4</v>
      </c>
      <c r="L161" t="s">
        <v>17</v>
      </c>
    </row>
    <row r="162" spans="1:12" x14ac:dyDescent="0.3">
      <c r="A162" t="s">
        <v>251</v>
      </c>
      <c r="B162" s="1">
        <v>45956</v>
      </c>
      <c r="C162" s="1" t="str">
        <f>TEXT(Table1[[#This Row],[Order Date]],"mmm")</f>
        <v>Oct</v>
      </c>
      <c r="D162" t="s">
        <v>19</v>
      </c>
      <c r="E162" t="s">
        <v>25</v>
      </c>
      <c r="F162" t="s">
        <v>58</v>
      </c>
      <c r="G162" t="s">
        <v>27</v>
      </c>
      <c r="H162" t="s">
        <v>72</v>
      </c>
      <c r="I162" s="2">
        <v>46798.13</v>
      </c>
      <c r="J162" s="2">
        <v>4121.6400000000003</v>
      </c>
      <c r="K162">
        <v>8</v>
      </c>
      <c r="L162" t="s">
        <v>29</v>
      </c>
    </row>
    <row r="163" spans="1:12" x14ac:dyDescent="0.3">
      <c r="A163" t="s">
        <v>67</v>
      </c>
      <c r="B163" s="1">
        <v>45957</v>
      </c>
      <c r="C163" s="1" t="str">
        <f>TEXT(Table1[[#This Row],[Order Date]],"mmm")</f>
        <v>Oct</v>
      </c>
      <c r="D163" t="s">
        <v>68</v>
      </c>
      <c r="E163" t="s">
        <v>45</v>
      </c>
      <c r="F163" t="s">
        <v>46</v>
      </c>
      <c r="G163" t="s">
        <v>27</v>
      </c>
      <c r="H163" t="s">
        <v>28</v>
      </c>
      <c r="I163" s="2">
        <v>45210.52</v>
      </c>
      <c r="J163" s="2">
        <v>6569.79</v>
      </c>
      <c r="K163">
        <v>2</v>
      </c>
      <c r="L163" t="s">
        <v>17</v>
      </c>
    </row>
    <row r="164" spans="1:12" x14ac:dyDescent="0.3">
      <c r="A164" t="s">
        <v>126</v>
      </c>
      <c r="B164" s="1">
        <v>45959</v>
      </c>
      <c r="C164" s="1" t="str">
        <f>TEXT(Table1[[#This Row],[Order Date]],"mmm")</f>
        <v>Oct</v>
      </c>
      <c r="D164" t="s">
        <v>56</v>
      </c>
      <c r="E164" t="s">
        <v>63</v>
      </c>
      <c r="F164" t="s">
        <v>64</v>
      </c>
      <c r="G164" t="s">
        <v>15</v>
      </c>
      <c r="H164" t="s">
        <v>16</v>
      </c>
      <c r="I164" s="2">
        <v>48022.36</v>
      </c>
      <c r="J164" s="2">
        <v>8306.0400000000009</v>
      </c>
      <c r="K164">
        <v>4</v>
      </c>
      <c r="L164" t="s">
        <v>29</v>
      </c>
    </row>
    <row r="165" spans="1:12" x14ac:dyDescent="0.3">
      <c r="A165" t="s">
        <v>198</v>
      </c>
      <c r="B165" s="1">
        <v>45959</v>
      </c>
      <c r="C165" s="1" t="str">
        <f>TEXT(Table1[[#This Row],[Order Date]],"mmm")</f>
        <v>Oct</v>
      </c>
      <c r="D165" t="s">
        <v>68</v>
      </c>
      <c r="E165" t="s">
        <v>45</v>
      </c>
      <c r="F165" t="s">
        <v>46</v>
      </c>
      <c r="G165" t="s">
        <v>51</v>
      </c>
      <c r="H165" t="s">
        <v>65</v>
      </c>
      <c r="I165" s="2">
        <v>38293.93</v>
      </c>
      <c r="J165" s="2">
        <v>5060.93</v>
      </c>
      <c r="K165">
        <v>3</v>
      </c>
      <c r="L165" t="s">
        <v>22</v>
      </c>
    </row>
    <row r="166" spans="1:12" x14ac:dyDescent="0.3">
      <c r="A166" t="s">
        <v>262</v>
      </c>
      <c r="B166" s="1">
        <v>45959</v>
      </c>
      <c r="C166" s="1" t="str">
        <f>TEXT(Table1[[#This Row],[Order Date]],"mmm")</f>
        <v>Oct</v>
      </c>
      <c r="D166" t="s">
        <v>159</v>
      </c>
      <c r="E166" t="s">
        <v>20</v>
      </c>
      <c r="F166" t="s">
        <v>32</v>
      </c>
      <c r="G166" t="s">
        <v>51</v>
      </c>
      <c r="H166" t="s">
        <v>52</v>
      </c>
      <c r="I166" s="2">
        <v>39250.69</v>
      </c>
      <c r="J166" s="2">
        <v>8755.4</v>
      </c>
      <c r="K166">
        <v>9</v>
      </c>
      <c r="L166" t="s">
        <v>22</v>
      </c>
    </row>
    <row r="167" spans="1:12" x14ac:dyDescent="0.3">
      <c r="A167" t="s">
        <v>162</v>
      </c>
      <c r="B167" s="1">
        <v>45962</v>
      </c>
      <c r="C167" s="1" t="str">
        <f>TEXT(Table1[[#This Row],[Order Date]],"mmm")</f>
        <v>Nov</v>
      </c>
      <c r="D167" t="s">
        <v>19</v>
      </c>
      <c r="E167" t="s">
        <v>13</v>
      </c>
      <c r="F167" t="s">
        <v>76</v>
      </c>
      <c r="G167" t="s">
        <v>27</v>
      </c>
      <c r="H167" t="s">
        <v>42</v>
      </c>
      <c r="I167" s="2">
        <v>24504.99</v>
      </c>
      <c r="J167" s="2">
        <v>5766.32</v>
      </c>
      <c r="K167">
        <v>9</v>
      </c>
      <c r="L167" t="s">
        <v>22</v>
      </c>
    </row>
    <row r="168" spans="1:12" x14ac:dyDescent="0.3">
      <c r="A168" t="s">
        <v>259</v>
      </c>
      <c r="B168" s="1">
        <v>45962</v>
      </c>
      <c r="C168" s="1" t="str">
        <f>TEXT(Table1[[#This Row],[Order Date]],"mmm")</f>
        <v>Nov</v>
      </c>
      <c r="D168" t="s">
        <v>74</v>
      </c>
      <c r="E168" t="s">
        <v>63</v>
      </c>
      <c r="F168" t="s">
        <v>64</v>
      </c>
      <c r="G168" t="s">
        <v>51</v>
      </c>
      <c r="H168" t="s">
        <v>87</v>
      </c>
      <c r="I168" s="2">
        <v>43890.98</v>
      </c>
      <c r="J168" s="2">
        <v>2380.91</v>
      </c>
      <c r="K168">
        <v>7</v>
      </c>
      <c r="L168" t="s">
        <v>22</v>
      </c>
    </row>
    <row r="169" spans="1:12" x14ac:dyDescent="0.3">
      <c r="A169" t="s">
        <v>165</v>
      </c>
      <c r="B169" s="1">
        <v>45964</v>
      </c>
      <c r="C169" s="1" t="str">
        <f>TEXT(Table1[[#This Row],[Order Date]],"mmm")</f>
        <v>Nov</v>
      </c>
      <c r="D169" t="s">
        <v>71</v>
      </c>
      <c r="E169" t="s">
        <v>36</v>
      </c>
      <c r="F169" t="s">
        <v>41</v>
      </c>
      <c r="G169" t="s">
        <v>27</v>
      </c>
      <c r="H169" t="s">
        <v>42</v>
      </c>
      <c r="I169" s="2">
        <v>43469.01</v>
      </c>
      <c r="J169" s="2">
        <v>6773.83</v>
      </c>
      <c r="K169">
        <v>6</v>
      </c>
      <c r="L169" t="s">
        <v>17</v>
      </c>
    </row>
    <row r="170" spans="1:12" x14ac:dyDescent="0.3">
      <c r="A170" t="s">
        <v>149</v>
      </c>
      <c r="B170" s="1">
        <v>45965</v>
      </c>
      <c r="C170" s="1" t="str">
        <f>TEXT(Table1[[#This Row],[Order Date]],"mmm")</f>
        <v>Nov</v>
      </c>
      <c r="D170" t="s">
        <v>71</v>
      </c>
      <c r="E170" t="s">
        <v>45</v>
      </c>
      <c r="F170" t="s">
        <v>60</v>
      </c>
      <c r="G170" t="s">
        <v>51</v>
      </c>
      <c r="H170" t="s">
        <v>52</v>
      </c>
      <c r="I170" s="2">
        <v>36140.92</v>
      </c>
      <c r="J170" s="2">
        <v>4580.62</v>
      </c>
      <c r="K170">
        <v>4</v>
      </c>
      <c r="L170" t="s">
        <v>22</v>
      </c>
    </row>
    <row r="171" spans="1:12" x14ac:dyDescent="0.3">
      <c r="A171" t="s">
        <v>102</v>
      </c>
      <c r="B171" s="1">
        <v>45966</v>
      </c>
      <c r="C171" s="1" t="str">
        <f>TEXT(Table1[[#This Row],[Order Date]],"mmm")</f>
        <v>Nov</v>
      </c>
      <c r="D171" t="s">
        <v>68</v>
      </c>
      <c r="E171" t="s">
        <v>25</v>
      </c>
      <c r="F171" t="s">
        <v>26</v>
      </c>
      <c r="G171" t="s">
        <v>15</v>
      </c>
      <c r="H171" t="s">
        <v>39</v>
      </c>
      <c r="I171" s="2">
        <v>22222.09</v>
      </c>
      <c r="J171" s="2">
        <v>2702.89</v>
      </c>
      <c r="K171">
        <v>9</v>
      </c>
      <c r="L171" t="s">
        <v>22</v>
      </c>
    </row>
    <row r="172" spans="1:12" x14ac:dyDescent="0.3">
      <c r="A172" t="s">
        <v>73</v>
      </c>
      <c r="B172" s="1">
        <v>45968</v>
      </c>
      <c r="C172" s="1" t="str">
        <f>TEXT(Table1[[#This Row],[Order Date]],"mmm")</f>
        <v>Nov</v>
      </c>
      <c r="D172" t="s">
        <v>74</v>
      </c>
      <c r="E172" t="s">
        <v>45</v>
      </c>
      <c r="F172" t="s">
        <v>60</v>
      </c>
      <c r="G172" t="s">
        <v>27</v>
      </c>
      <c r="H172" t="s">
        <v>42</v>
      </c>
      <c r="I172" s="2">
        <v>8305.0400000000009</v>
      </c>
      <c r="J172" s="2">
        <v>1517.07</v>
      </c>
      <c r="K172">
        <v>5</v>
      </c>
      <c r="L172" t="s">
        <v>22</v>
      </c>
    </row>
    <row r="173" spans="1:12" x14ac:dyDescent="0.3">
      <c r="A173" t="s">
        <v>214</v>
      </c>
      <c r="B173" s="1">
        <v>45969</v>
      </c>
      <c r="C173" s="1" t="str">
        <f>TEXT(Table1[[#This Row],[Order Date]],"mmm")</f>
        <v>Nov</v>
      </c>
      <c r="D173" t="s">
        <v>31</v>
      </c>
      <c r="E173" t="s">
        <v>36</v>
      </c>
      <c r="F173" t="s">
        <v>37</v>
      </c>
      <c r="G173" t="s">
        <v>15</v>
      </c>
      <c r="H173" t="s">
        <v>33</v>
      </c>
      <c r="I173" s="2">
        <v>6797.07</v>
      </c>
      <c r="J173" s="2">
        <v>1071.94</v>
      </c>
      <c r="K173">
        <v>9</v>
      </c>
      <c r="L173" t="s">
        <v>17</v>
      </c>
    </row>
    <row r="174" spans="1:12" x14ac:dyDescent="0.3">
      <c r="A174" t="s">
        <v>223</v>
      </c>
      <c r="B174" s="1">
        <v>45978</v>
      </c>
      <c r="C174" s="1" t="str">
        <f>TEXT(Table1[[#This Row],[Order Date]],"mmm")</f>
        <v>Nov</v>
      </c>
      <c r="D174" t="s">
        <v>48</v>
      </c>
      <c r="E174" t="s">
        <v>45</v>
      </c>
      <c r="F174" t="s">
        <v>46</v>
      </c>
      <c r="G174" t="s">
        <v>15</v>
      </c>
      <c r="H174" t="s">
        <v>16</v>
      </c>
      <c r="I174" s="2">
        <v>42922.21</v>
      </c>
      <c r="J174" s="2">
        <v>5786.25</v>
      </c>
      <c r="K174">
        <v>3</v>
      </c>
      <c r="L174" t="s">
        <v>17</v>
      </c>
    </row>
    <row r="175" spans="1:12" x14ac:dyDescent="0.3">
      <c r="A175" t="s">
        <v>155</v>
      </c>
      <c r="B175" s="1">
        <v>45982</v>
      </c>
      <c r="C175" s="1" t="str">
        <f>TEXT(Table1[[#This Row],[Order Date]],"mmm")</f>
        <v>Nov</v>
      </c>
      <c r="D175" t="s">
        <v>62</v>
      </c>
      <c r="E175" t="s">
        <v>63</v>
      </c>
      <c r="F175" t="s">
        <v>64</v>
      </c>
      <c r="G175" t="s">
        <v>15</v>
      </c>
      <c r="H175" t="s">
        <v>16</v>
      </c>
      <c r="I175" s="2">
        <v>49511.55</v>
      </c>
      <c r="J175" s="2">
        <v>7707.83</v>
      </c>
      <c r="K175">
        <v>1</v>
      </c>
      <c r="L175" t="s">
        <v>17</v>
      </c>
    </row>
    <row r="176" spans="1:12" x14ac:dyDescent="0.3">
      <c r="A176" t="s">
        <v>47</v>
      </c>
      <c r="B176" s="1">
        <v>45984</v>
      </c>
      <c r="C176" s="1" t="str">
        <f>TEXT(Table1[[#This Row],[Order Date]],"mmm")</f>
        <v>Nov</v>
      </c>
      <c r="D176" t="s">
        <v>48</v>
      </c>
      <c r="E176" t="s">
        <v>36</v>
      </c>
      <c r="F176" t="s">
        <v>41</v>
      </c>
      <c r="G176" t="s">
        <v>15</v>
      </c>
      <c r="H176" t="s">
        <v>16</v>
      </c>
      <c r="I176" s="2">
        <v>10658.9</v>
      </c>
      <c r="J176" s="2">
        <v>932.92</v>
      </c>
      <c r="K176">
        <v>8</v>
      </c>
      <c r="L176" t="s">
        <v>29</v>
      </c>
    </row>
    <row r="177" spans="1:12" x14ac:dyDescent="0.3">
      <c r="A177" t="s">
        <v>229</v>
      </c>
      <c r="B177" s="1">
        <v>45984</v>
      </c>
      <c r="C177" s="1" t="str">
        <f>TEXT(Table1[[#This Row],[Order Date]],"mmm")</f>
        <v>Nov</v>
      </c>
      <c r="D177" t="s">
        <v>74</v>
      </c>
      <c r="E177" t="s">
        <v>63</v>
      </c>
      <c r="F177" t="s">
        <v>64</v>
      </c>
      <c r="G177" t="s">
        <v>15</v>
      </c>
      <c r="H177" t="s">
        <v>39</v>
      </c>
      <c r="I177" s="2">
        <v>26692.99</v>
      </c>
      <c r="J177" s="2">
        <v>4379.2299999999996</v>
      </c>
      <c r="K177">
        <v>4</v>
      </c>
      <c r="L177" t="s">
        <v>29</v>
      </c>
    </row>
    <row r="178" spans="1:12" x14ac:dyDescent="0.3">
      <c r="A178" t="s">
        <v>113</v>
      </c>
      <c r="B178" s="1">
        <v>45988</v>
      </c>
      <c r="C178" s="1" t="str">
        <f>TEXT(Table1[[#This Row],[Order Date]],"mmm")</f>
        <v>Nov</v>
      </c>
      <c r="D178" t="s">
        <v>91</v>
      </c>
      <c r="E178" t="s">
        <v>13</v>
      </c>
      <c r="F178" t="s">
        <v>14</v>
      </c>
      <c r="G178" t="s">
        <v>51</v>
      </c>
      <c r="H178" t="s">
        <v>87</v>
      </c>
      <c r="I178" s="2">
        <v>23810.61</v>
      </c>
      <c r="J178" s="2">
        <v>5330.6</v>
      </c>
      <c r="K178">
        <v>2</v>
      </c>
      <c r="L178" t="s">
        <v>29</v>
      </c>
    </row>
    <row r="179" spans="1:12" x14ac:dyDescent="0.3">
      <c r="A179" t="s">
        <v>153</v>
      </c>
      <c r="B179" s="1">
        <v>45988</v>
      </c>
      <c r="C179" s="1" t="str">
        <f>TEXT(Table1[[#This Row],[Order Date]],"mmm")</f>
        <v>Nov</v>
      </c>
      <c r="D179" t="s">
        <v>44</v>
      </c>
      <c r="E179" t="s">
        <v>45</v>
      </c>
      <c r="F179" t="s">
        <v>46</v>
      </c>
      <c r="G179" t="s">
        <v>51</v>
      </c>
      <c r="H179" t="s">
        <v>52</v>
      </c>
      <c r="I179" s="2">
        <v>46351.6</v>
      </c>
      <c r="J179" s="2">
        <v>9082.08</v>
      </c>
      <c r="K179">
        <v>1</v>
      </c>
      <c r="L179" t="s">
        <v>22</v>
      </c>
    </row>
    <row r="180" spans="1:12" x14ac:dyDescent="0.3">
      <c r="A180" t="s">
        <v>121</v>
      </c>
      <c r="B180" s="1">
        <v>45990</v>
      </c>
      <c r="C180" s="1" t="str">
        <f>TEXT(Table1[[#This Row],[Order Date]],"mmm")</f>
        <v>Nov</v>
      </c>
      <c r="D180" t="s">
        <v>24</v>
      </c>
      <c r="E180" t="s">
        <v>13</v>
      </c>
      <c r="F180" t="s">
        <v>14</v>
      </c>
      <c r="G180" t="s">
        <v>51</v>
      </c>
      <c r="H180" t="s">
        <v>52</v>
      </c>
      <c r="I180" s="2">
        <v>24418.15</v>
      </c>
      <c r="J180" s="2">
        <v>3020.95</v>
      </c>
      <c r="K180">
        <v>7</v>
      </c>
      <c r="L180" t="s">
        <v>29</v>
      </c>
    </row>
    <row r="181" spans="1:12" x14ac:dyDescent="0.3">
      <c r="A181" t="s">
        <v>188</v>
      </c>
      <c r="B181" s="1">
        <v>45991</v>
      </c>
      <c r="C181" s="1" t="str">
        <f>TEXT(Table1[[#This Row],[Order Date]],"mmm")</f>
        <v>Nov</v>
      </c>
      <c r="D181" t="s">
        <v>56</v>
      </c>
      <c r="E181" t="s">
        <v>20</v>
      </c>
      <c r="F181" t="s">
        <v>21</v>
      </c>
      <c r="G181" t="s">
        <v>51</v>
      </c>
      <c r="H181" t="s">
        <v>65</v>
      </c>
      <c r="I181" s="2">
        <v>15148.63</v>
      </c>
      <c r="J181" s="2">
        <v>3754.26</v>
      </c>
      <c r="K181">
        <v>6</v>
      </c>
      <c r="L181" t="s">
        <v>29</v>
      </c>
    </row>
    <row r="182" spans="1:12" x14ac:dyDescent="0.3">
      <c r="A182" t="s">
        <v>230</v>
      </c>
      <c r="B182" s="1">
        <v>45991</v>
      </c>
      <c r="C182" s="1" t="str">
        <f>TEXT(Table1[[#This Row],[Order Date]],"mmm")</f>
        <v>Nov</v>
      </c>
      <c r="D182" t="s">
        <v>74</v>
      </c>
      <c r="E182" t="s">
        <v>25</v>
      </c>
      <c r="F182" t="s">
        <v>26</v>
      </c>
      <c r="G182" t="s">
        <v>27</v>
      </c>
      <c r="H182" t="s">
        <v>42</v>
      </c>
      <c r="I182" s="2">
        <v>8834.65</v>
      </c>
      <c r="J182" s="2">
        <v>1210.17</v>
      </c>
      <c r="K182">
        <v>3</v>
      </c>
      <c r="L182" t="s">
        <v>22</v>
      </c>
    </row>
    <row r="183" spans="1:12" x14ac:dyDescent="0.3">
      <c r="A183" t="s">
        <v>237</v>
      </c>
      <c r="B183" s="1">
        <v>45993</v>
      </c>
      <c r="C183" s="1" t="str">
        <f>TEXT(Table1[[#This Row],[Order Date]],"mmm")</f>
        <v>Dec</v>
      </c>
      <c r="D183" t="s">
        <v>12</v>
      </c>
      <c r="E183" t="s">
        <v>20</v>
      </c>
      <c r="F183" t="s">
        <v>32</v>
      </c>
      <c r="G183" t="s">
        <v>51</v>
      </c>
      <c r="H183" t="s">
        <v>87</v>
      </c>
      <c r="I183" s="2">
        <v>23907.78</v>
      </c>
      <c r="J183" s="2">
        <v>3952</v>
      </c>
      <c r="K183">
        <v>2</v>
      </c>
      <c r="L183" t="s">
        <v>22</v>
      </c>
    </row>
    <row r="184" spans="1:12" x14ac:dyDescent="0.3">
      <c r="A184" t="s">
        <v>84</v>
      </c>
      <c r="B184" s="1">
        <v>45996</v>
      </c>
      <c r="C184" s="1" t="str">
        <f>TEXT(Table1[[#This Row],[Order Date]],"mmm")</f>
        <v>Dec</v>
      </c>
      <c r="D184" t="s">
        <v>54</v>
      </c>
      <c r="E184" t="s">
        <v>36</v>
      </c>
      <c r="F184" t="s">
        <v>37</v>
      </c>
      <c r="G184" t="s">
        <v>15</v>
      </c>
      <c r="H184" t="s">
        <v>33</v>
      </c>
      <c r="I184" s="2">
        <v>37296.269999999997</v>
      </c>
      <c r="J184" s="2">
        <v>6608.41</v>
      </c>
      <c r="K184">
        <v>2</v>
      </c>
      <c r="L184" t="s">
        <v>22</v>
      </c>
    </row>
    <row r="185" spans="1:12" x14ac:dyDescent="0.3">
      <c r="A185" t="s">
        <v>161</v>
      </c>
      <c r="B185" s="1">
        <v>45997</v>
      </c>
      <c r="C185" s="1" t="str">
        <f>TEXT(Table1[[#This Row],[Order Date]],"mmm")</f>
        <v>Dec</v>
      </c>
      <c r="D185" t="s">
        <v>12</v>
      </c>
      <c r="E185" t="s">
        <v>13</v>
      </c>
      <c r="F185" t="s">
        <v>76</v>
      </c>
      <c r="G185" t="s">
        <v>27</v>
      </c>
      <c r="H185" t="s">
        <v>72</v>
      </c>
      <c r="I185" s="2">
        <v>42792.49</v>
      </c>
      <c r="J185" s="2">
        <v>3619.77</v>
      </c>
      <c r="K185">
        <v>6</v>
      </c>
      <c r="L185" t="s">
        <v>29</v>
      </c>
    </row>
    <row r="186" spans="1:12" x14ac:dyDescent="0.3">
      <c r="A186" t="s">
        <v>134</v>
      </c>
      <c r="B186" s="1">
        <v>45999</v>
      </c>
      <c r="C186" s="1" t="str">
        <f>TEXT(Table1[[#This Row],[Order Date]],"mmm")</f>
        <v>Dec</v>
      </c>
      <c r="D186" t="s">
        <v>98</v>
      </c>
      <c r="E186" t="s">
        <v>13</v>
      </c>
      <c r="F186" t="s">
        <v>76</v>
      </c>
      <c r="G186" t="s">
        <v>15</v>
      </c>
      <c r="H186" t="s">
        <v>39</v>
      </c>
      <c r="I186" s="2">
        <v>3628.11</v>
      </c>
      <c r="J186" s="2">
        <v>906.86</v>
      </c>
      <c r="K186">
        <v>7</v>
      </c>
      <c r="L186" t="s">
        <v>17</v>
      </c>
    </row>
    <row r="187" spans="1:12" x14ac:dyDescent="0.3">
      <c r="A187" t="s">
        <v>127</v>
      </c>
      <c r="B187" s="1">
        <v>46000</v>
      </c>
      <c r="C187" s="1" t="str">
        <f>TEXT(Table1[[#This Row],[Order Date]],"mmm")</f>
        <v>Dec</v>
      </c>
      <c r="D187" t="s">
        <v>98</v>
      </c>
      <c r="E187" t="s">
        <v>63</v>
      </c>
      <c r="F187" t="s">
        <v>64</v>
      </c>
      <c r="G187" t="s">
        <v>27</v>
      </c>
      <c r="H187" t="s">
        <v>72</v>
      </c>
      <c r="I187" s="2">
        <v>17030.8</v>
      </c>
      <c r="J187" s="2">
        <v>960.35</v>
      </c>
      <c r="K187">
        <v>2</v>
      </c>
      <c r="L187" t="s">
        <v>22</v>
      </c>
    </row>
    <row r="188" spans="1:12" x14ac:dyDescent="0.3">
      <c r="A188" t="s">
        <v>109</v>
      </c>
      <c r="B188" s="1">
        <v>46005</v>
      </c>
      <c r="C188" s="1" t="str">
        <f>TEXT(Table1[[#This Row],[Order Date]],"mmm")</f>
        <v>Dec</v>
      </c>
      <c r="D188" t="s">
        <v>56</v>
      </c>
      <c r="E188" t="s">
        <v>25</v>
      </c>
      <c r="F188" t="s">
        <v>58</v>
      </c>
      <c r="G188" t="s">
        <v>27</v>
      </c>
      <c r="H188" t="s">
        <v>42</v>
      </c>
      <c r="I188" s="2">
        <v>44791.86</v>
      </c>
      <c r="J188" s="2">
        <v>2333.11</v>
      </c>
      <c r="K188">
        <v>1</v>
      </c>
      <c r="L188" t="s">
        <v>29</v>
      </c>
    </row>
    <row r="189" spans="1:12" x14ac:dyDescent="0.3">
      <c r="A189" t="s">
        <v>257</v>
      </c>
      <c r="B189" s="1">
        <v>46005</v>
      </c>
      <c r="C189" s="1" t="str">
        <f>TEXT(Table1[[#This Row],[Order Date]],"mmm")</f>
        <v>Dec</v>
      </c>
      <c r="D189" t="s">
        <v>12</v>
      </c>
      <c r="E189" t="s">
        <v>20</v>
      </c>
      <c r="F189" t="s">
        <v>32</v>
      </c>
      <c r="G189" t="s">
        <v>27</v>
      </c>
      <c r="H189" t="s">
        <v>72</v>
      </c>
      <c r="I189" s="2">
        <v>40930.67</v>
      </c>
      <c r="J189" s="2">
        <v>2147.88</v>
      </c>
      <c r="K189">
        <v>3</v>
      </c>
      <c r="L189" t="s">
        <v>29</v>
      </c>
    </row>
    <row r="190" spans="1:12" x14ac:dyDescent="0.3">
      <c r="A190" t="s">
        <v>209</v>
      </c>
      <c r="B190" s="1">
        <v>46006</v>
      </c>
      <c r="C190" s="1" t="str">
        <f>TEXT(Table1[[#This Row],[Order Date]],"mmm")</f>
        <v>Dec</v>
      </c>
      <c r="D190" t="s">
        <v>159</v>
      </c>
      <c r="E190" t="s">
        <v>13</v>
      </c>
      <c r="F190" t="s">
        <v>76</v>
      </c>
      <c r="G190" t="s">
        <v>51</v>
      </c>
      <c r="H190" t="s">
        <v>65</v>
      </c>
      <c r="I190" s="2">
        <v>20324.11</v>
      </c>
      <c r="J190" s="2">
        <v>3441.94</v>
      </c>
      <c r="K190">
        <v>6</v>
      </c>
      <c r="L190" t="s">
        <v>17</v>
      </c>
    </row>
    <row r="191" spans="1:12" x14ac:dyDescent="0.3">
      <c r="A191" t="s">
        <v>199</v>
      </c>
      <c r="B191" s="1">
        <v>46007</v>
      </c>
      <c r="C191" s="1" t="str">
        <f>TEXT(Table1[[#This Row],[Order Date]],"mmm")</f>
        <v>Dec</v>
      </c>
      <c r="D191" t="s">
        <v>19</v>
      </c>
      <c r="E191" t="s">
        <v>63</v>
      </c>
      <c r="F191" t="s">
        <v>64</v>
      </c>
      <c r="G191" t="s">
        <v>51</v>
      </c>
      <c r="H191" t="s">
        <v>52</v>
      </c>
      <c r="I191" s="2">
        <v>42635.51</v>
      </c>
      <c r="J191" s="2">
        <v>3398.87</v>
      </c>
      <c r="K191">
        <v>5</v>
      </c>
      <c r="L191" t="s">
        <v>22</v>
      </c>
    </row>
    <row r="192" spans="1:12" x14ac:dyDescent="0.3">
      <c r="A192" t="s">
        <v>204</v>
      </c>
      <c r="B192" s="1">
        <v>46009</v>
      </c>
      <c r="C192" s="1" t="str">
        <f>TEXT(Table1[[#This Row],[Order Date]],"mmm")</f>
        <v>Dec</v>
      </c>
      <c r="D192" t="s">
        <v>24</v>
      </c>
      <c r="E192" t="s">
        <v>25</v>
      </c>
      <c r="F192" t="s">
        <v>58</v>
      </c>
      <c r="G192" t="s">
        <v>15</v>
      </c>
      <c r="H192" t="s">
        <v>33</v>
      </c>
      <c r="I192" s="2">
        <v>47556.98</v>
      </c>
      <c r="J192" s="2">
        <v>8495.0499999999993</v>
      </c>
      <c r="K192">
        <v>7</v>
      </c>
      <c r="L192" t="s">
        <v>22</v>
      </c>
    </row>
    <row r="193" spans="1:12" x14ac:dyDescent="0.3">
      <c r="A193" t="s">
        <v>97</v>
      </c>
      <c r="B193" s="1">
        <v>46011</v>
      </c>
      <c r="C193" s="1" t="str">
        <f>TEXT(Table1[[#This Row],[Order Date]],"mmm")</f>
        <v>Dec</v>
      </c>
      <c r="D193" t="s">
        <v>98</v>
      </c>
      <c r="E193" t="s">
        <v>20</v>
      </c>
      <c r="F193" t="s">
        <v>21</v>
      </c>
      <c r="G193" t="s">
        <v>15</v>
      </c>
      <c r="H193" t="s">
        <v>16</v>
      </c>
      <c r="I193" s="2">
        <v>49399.17</v>
      </c>
      <c r="J193" s="2">
        <v>10102.41</v>
      </c>
      <c r="K193">
        <v>10</v>
      </c>
      <c r="L193" t="s">
        <v>22</v>
      </c>
    </row>
    <row r="194" spans="1:12" x14ac:dyDescent="0.3">
      <c r="A194" t="s">
        <v>69</v>
      </c>
      <c r="B194" s="1">
        <v>46013</v>
      </c>
      <c r="C194" s="1" t="str">
        <f>TEXT(Table1[[#This Row],[Order Date]],"mmm")</f>
        <v>Dec</v>
      </c>
      <c r="D194" t="s">
        <v>68</v>
      </c>
      <c r="E194" t="s">
        <v>25</v>
      </c>
      <c r="F194" t="s">
        <v>26</v>
      </c>
      <c r="G194" t="s">
        <v>51</v>
      </c>
      <c r="H194" t="s">
        <v>65</v>
      </c>
      <c r="I194" s="2">
        <v>25877.17</v>
      </c>
      <c r="J194" s="2">
        <v>2588.4</v>
      </c>
      <c r="K194">
        <v>1</v>
      </c>
      <c r="L194" t="s">
        <v>17</v>
      </c>
    </row>
    <row r="195" spans="1:12" x14ac:dyDescent="0.3">
      <c r="A195" t="s">
        <v>154</v>
      </c>
      <c r="B195" s="1">
        <v>46014</v>
      </c>
      <c r="C195" s="1" t="str">
        <f>TEXT(Table1[[#This Row],[Order Date]],"mmm")</f>
        <v>Dec</v>
      </c>
      <c r="D195" t="s">
        <v>89</v>
      </c>
      <c r="E195" t="s">
        <v>63</v>
      </c>
      <c r="F195" t="s">
        <v>64</v>
      </c>
      <c r="G195" t="s">
        <v>15</v>
      </c>
      <c r="H195" t="s">
        <v>39</v>
      </c>
      <c r="I195" s="2">
        <v>2860.86</v>
      </c>
      <c r="J195" s="2">
        <v>586.25</v>
      </c>
      <c r="K195">
        <v>4</v>
      </c>
      <c r="L195" t="s">
        <v>29</v>
      </c>
    </row>
    <row r="196" spans="1:12" x14ac:dyDescent="0.3">
      <c r="A196" t="s">
        <v>211</v>
      </c>
      <c r="B196" s="1">
        <v>46015</v>
      </c>
      <c r="C196" s="1" t="str">
        <f>TEXT(Table1[[#This Row],[Order Date]],"mmm")</f>
        <v>Dec</v>
      </c>
      <c r="D196" t="s">
        <v>54</v>
      </c>
      <c r="E196" t="s">
        <v>63</v>
      </c>
      <c r="F196" t="s">
        <v>64</v>
      </c>
      <c r="G196" t="s">
        <v>27</v>
      </c>
      <c r="H196" t="s">
        <v>28</v>
      </c>
      <c r="I196" s="2">
        <v>48432.66</v>
      </c>
      <c r="J196" s="2">
        <v>2432.6</v>
      </c>
      <c r="K196">
        <v>6</v>
      </c>
      <c r="L196" t="s">
        <v>17</v>
      </c>
    </row>
    <row r="197" spans="1:12" x14ac:dyDescent="0.3">
      <c r="A197" t="s">
        <v>130</v>
      </c>
      <c r="B197" s="1">
        <v>46016</v>
      </c>
      <c r="C197" s="1" t="str">
        <f>TEXT(Table1[[#This Row],[Order Date]],"mmm")</f>
        <v>Dec</v>
      </c>
      <c r="D197" t="s">
        <v>48</v>
      </c>
      <c r="E197" t="s">
        <v>25</v>
      </c>
      <c r="F197" t="s">
        <v>26</v>
      </c>
      <c r="G197" t="s">
        <v>51</v>
      </c>
      <c r="H197" t="s">
        <v>52</v>
      </c>
      <c r="I197" s="2">
        <v>42041.49</v>
      </c>
      <c r="J197" s="2">
        <v>9899.5400000000009</v>
      </c>
      <c r="K197">
        <v>9</v>
      </c>
      <c r="L197" t="s">
        <v>22</v>
      </c>
    </row>
    <row r="198" spans="1:12" x14ac:dyDescent="0.3">
      <c r="A198" t="s">
        <v>193</v>
      </c>
      <c r="B198" s="1">
        <v>46021</v>
      </c>
      <c r="C198" s="1" t="str">
        <f>TEXT(Table1[[#This Row],[Order Date]],"mmm")</f>
        <v>Dec</v>
      </c>
      <c r="D198" t="s">
        <v>89</v>
      </c>
      <c r="E198" t="s">
        <v>20</v>
      </c>
      <c r="F198" t="s">
        <v>32</v>
      </c>
      <c r="G198" t="s">
        <v>51</v>
      </c>
      <c r="H198" t="s">
        <v>65</v>
      </c>
      <c r="I198" s="2">
        <v>40816.26</v>
      </c>
      <c r="J198" s="2">
        <v>8509.2900000000009</v>
      </c>
      <c r="K198">
        <v>6</v>
      </c>
      <c r="L198" t="s">
        <v>17</v>
      </c>
    </row>
    <row r="199" spans="1:12" x14ac:dyDescent="0.3">
      <c r="A199" t="s">
        <v>75</v>
      </c>
      <c r="B199" s="1">
        <v>46022</v>
      </c>
      <c r="C199" s="1" t="str">
        <f>TEXT(Table1[[#This Row],[Order Date]],"mmm")</f>
        <v>Dec</v>
      </c>
      <c r="D199" t="s">
        <v>68</v>
      </c>
      <c r="E199" t="s">
        <v>13</v>
      </c>
      <c r="F199" t="s">
        <v>76</v>
      </c>
      <c r="G199" t="s">
        <v>51</v>
      </c>
      <c r="H199" t="s">
        <v>65</v>
      </c>
      <c r="I199" s="2">
        <v>9764.9699999999993</v>
      </c>
      <c r="J199" s="2">
        <v>1711.96</v>
      </c>
      <c r="K199">
        <v>8</v>
      </c>
      <c r="L199" t="s">
        <v>22</v>
      </c>
    </row>
    <row r="200" spans="1:12" x14ac:dyDescent="0.3">
      <c r="A200" t="s">
        <v>138</v>
      </c>
      <c r="B200" s="1">
        <v>46022</v>
      </c>
      <c r="C200" s="1" t="str">
        <f>TEXT(Table1[[#This Row],[Order Date]],"mmm")</f>
        <v>Dec</v>
      </c>
      <c r="D200" t="s">
        <v>81</v>
      </c>
      <c r="E200" t="s">
        <v>36</v>
      </c>
      <c r="F200" t="s">
        <v>41</v>
      </c>
      <c r="G200" t="s">
        <v>51</v>
      </c>
      <c r="H200" t="s">
        <v>87</v>
      </c>
      <c r="I200" s="2">
        <v>46599.8</v>
      </c>
      <c r="J200" s="2">
        <v>10883.69</v>
      </c>
      <c r="K200">
        <v>5</v>
      </c>
      <c r="L200" t="s">
        <v>29</v>
      </c>
    </row>
    <row r="201" spans="1:12" x14ac:dyDescent="0.3">
      <c r="A201" t="s">
        <v>253</v>
      </c>
      <c r="B201" s="1">
        <v>46022</v>
      </c>
      <c r="C201" s="1" t="str">
        <f>TEXT(Table1[[#This Row],[Order Date]],"mmm")</f>
        <v>Dec</v>
      </c>
      <c r="D201" t="s">
        <v>31</v>
      </c>
      <c r="E201" t="s">
        <v>36</v>
      </c>
      <c r="F201" t="s">
        <v>37</v>
      </c>
      <c r="G201" t="s">
        <v>51</v>
      </c>
      <c r="H201" t="s">
        <v>65</v>
      </c>
      <c r="I201" s="2">
        <v>39501.699999999997</v>
      </c>
      <c r="J201" s="2">
        <v>9801.9599999999991</v>
      </c>
      <c r="K201">
        <v>1</v>
      </c>
      <c r="L201" t="s">
        <v>22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2B089-3A45-4144-BDA9-25A8731DB75E}">
  <dimension ref="A3:N51"/>
  <sheetViews>
    <sheetView topLeftCell="B16" workbookViewId="0">
      <selection activeCell="Y28" sqref="Y28"/>
    </sheetView>
  </sheetViews>
  <sheetFormatPr defaultRowHeight="14.4" x14ac:dyDescent="0.3"/>
  <cols>
    <col min="1" max="1" width="12.5546875" bestFit="1" customWidth="1"/>
    <col min="2" max="2" width="11.6640625" bestFit="1" customWidth="1"/>
    <col min="3" max="3" width="15.88671875" bestFit="1" customWidth="1"/>
    <col min="4" max="4" width="14.88671875" bestFit="1" customWidth="1"/>
    <col min="5" max="5" width="10.77734375" bestFit="1" customWidth="1"/>
    <col min="13" max="13" width="12.5546875" bestFit="1" customWidth="1"/>
    <col min="14" max="14" width="11.6640625" bestFit="1" customWidth="1"/>
  </cols>
  <sheetData>
    <row r="3" spans="1:14" x14ac:dyDescent="0.3">
      <c r="A3" t="s">
        <v>263</v>
      </c>
      <c r="B3" t="s">
        <v>264</v>
      </c>
      <c r="C3" t="s">
        <v>266</v>
      </c>
      <c r="D3" t="s">
        <v>265</v>
      </c>
    </row>
    <row r="4" spans="1:14" x14ac:dyDescent="0.3">
      <c r="A4" s="3">
        <v>5217473.5900000017</v>
      </c>
      <c r="B4" s="4">
        <v>774972.51999999967</v>
      </c>
      <c r="C4">
        <v>200</v>
      </c>
      <c r="D4">
        <v>1040</v>
      </c>
    </row>
    <row r="6" spans="1:14" x14ac:dyDescent="0.3">
      <c r="A6" t="s">
        <v>267</v>
      </c>
      <c r="B6" t="s">
        <v>264</v>
      </c>
      <c r="C6" t="s">
        <v>270</v>
      </c>
      <c r="D6" t="s">
        <v>268</v>
      </c>
      <c r="E6" t="s">
        <v>269</v>
      </c>
    </row>
    <row r="7" spans="1:14" x14ac:dyDescent="0.3">
      <c r="A7" s="3">
        <f>GETPIVOTDATA("Sum of Sales",$A$3)</f>
        <v>5217473.5900000017</v>
      </c>
      <c r="B7" s="4">
        <f>GETPIVOTDATA("Sum of Profit",$A$3)</f>
        <v>774972.51999999967</v>
      </c>
      <c r="C7">
        <f>GETPIVOTDATA("Count of Order ID",$A$3)</f>
        <v>200</v>
      </c>
      <c r="D7">
        <f>GETPIVOTDATA("Sum of Quantity",$A$3)</f>
        <v>1040</v>
      </c>
      <c r="E7" s="5">
        <f>A7/C7</f>
        <v>26087.367950000007</v>
      </c>
    </row>
    <row r="9" spans="1:14" x14ac:dyDescent="0.3">
      <c r="A9" s="6" t="s">
        <v>272</v>
      </c>
      <c r="B9" t="s">
        <v>263</v>
      </c>
      <c r="M9" s="6" t="s">
        <v>272</v>
      </c>
      <c r="N9" t="s">
        <v>263</v>
      </c>
    </row>
    <row r="10" spans="1:14" x14ac:dyDescent="0.3">
      <c r="A10" s="7" t="s">
        <v>273</v>
      </c>
      <c r="B10" s="3">
        <v>299869.87999999995</v>
      </c>
      <c r="M10" s="7" t="s">
        <v>46</v>
      </c>
      <c r="N10" s="3">
        <v>467666.56000000006</v>
      </c>
    </row>
    <row r="11" spans="1:14" x14ac:dyDescent="0.3">
      <c r="A11" s="7" t="s">
        <v>274</v>
      </c>
      <c r="B11" s="3">
        <v>383920.68</v>
      </c>
      <c r="M11" s="7" t="s">
        <v>26</v>
      </c>
      <c r="N11" s="3">
        <v>486157.98</v>
      </c>
    </row>
    <row r="12" spans="1:14" x14ac:dyDescent="0.3">
      <c r="A12" s="7" t="s">
        <v>275</v>
      </c>
      <c r="B12" s="3">
        <v>475678.31000000006</v>
      </c>
      <c r="M12" s="7" t="s">
        <v>41</v>
      </c>
      <c r="N12" s="3">
        <v>546351.92000000004</v>
      </c>
    </row>
    <row r="13" spans="1:14" x14ac:dyDescent="0.3">
      <c r="A13" s="7" t="s">
        <v>276</v>
      </c>
      <c r="B13" s="3">
        <v>558915</v>
      </c>
      <c r="M13" s="7" t="s">
        <v>64</v>
      </c>
      <c r="N13" s="3">
        <v>972200.8899999999</v>
      </c>
    </row>
    <row r="14" spans="1:14" x14ac:dyDescent="0.3">
      <c r="A14" s="7" t="s">
        <v>277</v>
      </c>
      <c r="B14" s="3">
        <v>370027.88</v>
      </c>
      <c r="M14" s="7" t="s">
        <v>32</v>
      </c>
      <c r="N14" s="3">
        <v>505785.26000000007</v>
      </c>
    </row>
    <row r="15" spans="1:14" x14ac:dyDescent="0.3">
      <c r="A15" s="7" t="s">
        <v>278</v>
      </c>
      <c r="B15" s="3">
        <v>319249.94</v>
      </c>
      <c r="M15" s="7" t="s">
        <v>285</v>
      </c>
      <c r="N15" s="3">
        <v>2978162.61</v>
      </c>
    </row>
    <row r="16" spans="1:14" x14ac:dyDescent="0.3">
      <c r="A16" s="7" t="s">
        <v>279</v>
      </c>
      <c r="B16" s="3">
        <v>269886.59999999998</v>
      </c>
    </row>
    <row r="17" spans="1:2" x14ac:dyDescent="0.3">
      <c r="A17" s="7" t="s">
        <v>280</v>
      </c>
      <c r="B17" s="3">
        <v>363241.0500000001</v>
      </c>
    </row>
    <row r="18" spans="1:2" x14ac:dyDescent="0.3">
      <c r="A18" s="7" t="s">
        <v>281</v>
      </c>
      <c r="B18" s="3">
        <v>471837.27999999997</v>
      </c>
    </row>
    <row r="19" spans="1:2" x14ac:dyDescent="0.3">
      <c r="A19" s="7" t="s">
        <v>282</v>
      </c>
      <c r="B19" s="3">
        <v>644978.92000000016</v>
      </c>
    </row>
    <row r="20" spans="1:2" x14ac:dyDescent="0.3">
      <c r="A20" s="7" t="s">
        <v>283</v>
      </c>
      <c r="B20" s="3">
        <v>433679.39000000007</v>
      </c>
    </row>
    <row r="21" spans="1:2" x14ac:dyDescent="0.3">
      <c r="A21" s="7" t="s">
        <v>284</v>
      </c>
      <c r="B21" s="3">
        <v>626188.65999999992</v>
      </c>
    </row>
    <row r="22" spans="1:2" x14ac:dyDescent="0.3">
      <c r="A22" s="7" t="s">
        <v>285</v>
      </c>
      <c r="B22" s="3">
        <v>5217473.59</v>
      </c>
    </row>
    <row r="26" spans="1:2" x14ac:dyDescent="0.3">
      <c r="A26" s="6" t="s">
        <v>272</v>
      </c>
      <c r="B26" t="s">
        <v>263</v>
      </c>
    </row>
    <row r="27" spans="1:2" x14ac:dyDescent="0.3">
      <c r="A27" s="7" t="s">
        <v>51</v>
      </c>
      <c r="B27" s="3">
        <v>1583629.4000000001</v>
      </c>
    </row>
    <row r="28" spans="1:2" x14ac:dyDescent="0.3">
      <c r="A28" s="7" t="s">
        <v>27</v>
      </c>
      <c r="B28" s="3">
        <v>1739222.4800000004</v>
      </c>
    </row>
    <row r="29" spans="1:2" x14ac:dyDescent="0.3">
      <c r="A29" s="7" t="s">
        <v>15</v>
      </c>
      <c r="B29" s="3">
        <v>1894621.7099999997</v>
      </c>
    </row>
    <row r="30" spans="1:2" x14ac:dyDescent="0.3">
      <c r="A30" s="7" t="s">
        <v>285</v>
      </c>
      <c r="B30" s="3">
        <v>5217473.5900000008</v>
      </c>
    </row>
    <row r="35" spans="1:14" x14ac:dyDescent="0.3">
      <c r="M35" s="6" t="s">
        <v>272</v>
      </c>
      <c r="N35" t="s">
        <v>263</v>
      </c>
    </row>
    <row r="36" spans="1:14" x14ac:dyDescent="0.3">
      <c r="M36" s="7" t="s">
        <v>63</v>
      </c>
      <c r="N36" s="3">
        <v>972200.8899999999</v>
      </c>
    </row>
    <row r="37" spans="1:14" x14ac:dyDescent="0.3">
      <c r="M37" s="7" t="s">
        <v>45</v>
      </c>
      <c r="N37" s="3">
        <v>933291.4800000001</v>
      </c>
    </row>
    <row r="38" spans="1:14" x14ac:dyDescent="0.3">
      <c r="M38" s="7" t="s">
        <v>25</v>
      </c>
      <c r="N38" s="3">
        <v>901252.78999999992</v>
      </c>
    </row>
    <row r="39" spans="1:14" x14ac:dyDescent="0.3">
      <c r="M39" s="7" t="s">
        <v>20</v>
      </c>
      <c r="N39" s="3">
        <v>938553.25000000012</v>
      </c>
    </row>
    <row r="40" spans="1:14" x14ac:dyDescent="0.3">
      <c r="M40" s="7" t="s">
        <v>13</v>
      </c>
      <c r="N40" s="3">
        <v>660794.49999999988</v>
      </c>
    </row>
    <row r="41" spans="1:14" x14ac:dyDescent="0.3">
      <c r="M41" s="7" t="s">
        <v>36</v>
      </c>
      <c r="N41" s="3">
        <v>811380.67999999993</v>
      </c>
    </row>
    <row r="42" spans="1:14" x14ac:dyDescent="0.3">
      <c r="M42" s="7" t="s">
        <v>285</v>
      </c>
      <c r="N42" s="3">
        <v>5217473.59</v>
      </c>
    </row>
    <row r="43" spans="1:14" x14ac:dyDescent="0.3">
      <c r="A43" s="6" t="s">
        <v>272</v>
      </c>
      <c r="B43" t="s">
        <v>263</v>
      </c>
    </row>
    <row r="44" spans="1:14" x14ac:dyDescent="0.3">
      <c r="A44" s="7" t="s">
        <v>17</v>
      </c>
      <c r="B44" s="3">
        <v>1922086.4000000004</v>
      </c>
    </row>
    <row r="45" spans="1:14" x14ac:dyDescent="0.3">
      <c r="A45" s="7" t="s">
        <v>22</v>
      </c>
      <c r="B45" s="3">
        <v>1733412.1899999997</v>
      </c>
    </row>
    <row r="46" spans="1:14" x14ac:dyDescent="0.3">
      <c r="A46" s="7" t="s">
        <v>29</v>
      </c>
      <c r="B46" s="3">
        <v>1561975.0000000005</v>
      </c>
      <c r="M46" s="7" t="s">
        <v>63</v>
      </c>
      <c r="N46" s="3">
        <v>972200.8899999999</v>
      </c>
    </row>
    <row r="47" spans="1:14" x14ac:dyDescent="0.3">
      <c r="A47" s="7" t="s">
        <v>285</v>
      </c>
      <c r="B47" s="3">
        <v>5217473.59</v>
      </c>
      <c r="M47" s="7" t="s">
        <v>45</v>
      </c>
      <c r="N47" s="3">
        <v>933291.4800000001</v>
      </c>
    </row>
    <row r="48" spans="1:14" x14ac:dyDescent="0.3">
      <c r="M48" s="7" t="s">
        <v>25</v>
      </c>
      <c r="N48" s="3">
        <v>901252.78999999992</v>
      </c>
    </row>
    <row r="49" spans="13:14" x14ac:dyDescent="0.3">
      <c r="M49" s="7" t="s">
        <v>20</v>
      </c>
      <c r="N49" s="3">
        <v>938553.25000000012</v>
      </c>
    </row>
    <row r="50" spans="13:14" x14ac:dyDescent="0.3">
      <c r="M50" s="7" t="s">
        <v>13</v>
      </c>
      <c r="N50" s="3">
        <v>660794.49999999988</v>
      </c>
    </row>
    <row r="51" spans="13:14" x14ac:dyDescent="0.3">
      <c r="M51" s="7" t="s">
        <v>36</v>
      </c>
      <c r="N51" s="3">
        <v>811380.67999999993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39C16-B571-4400-9788-F7F16F9FE625}">
  <dimension ref="A1"/>
  <sheetViews>
    <sheetView showGridLines="0" tabSelected="1" zoomScale="57" workbookViewId="0">
      <selection activeCell="AA10" sqref="AA10"/>
    </sheetView>
  </sheetViews>
  <sheetFormatPr defaultRowHeight="14.4" x14ac:dyDescent="0.3"/>
  <sheetData>
    <row r="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mounikanallamothu47@gmail.com</cp:lastModifiedBy>
  <dcterms:created xsi:type="dcterms:W3CDTF">2026-08-03T15:36:45Z</dcterms:created>
  <dcterms:modified xsi:type="dcterms:W3CDTF">2026-09-19T13:16:15Z</dcterms:modified>
</cp:coreProperties>
</file>